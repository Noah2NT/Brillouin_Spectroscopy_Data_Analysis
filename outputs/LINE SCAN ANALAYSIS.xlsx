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ahk\OneDrive\Documents\GitHub\Brillouin_Spectroscopy_Data_Analysis\"/>
    </mc:Choice>
  </mc:AlternateContent>
  <xr:revisionPtr revIDLastSave="0" documentId="13_ncr:1_{396D86C2-85B6-4E50-A1D9-BFA107974795}" xr6:coauthVersionLast="47" xr6:coauthVersionMax="47" xr10:uidLastSave="{00000000-0000-0000-0000-000000000000}"/>
  <bookViews>
    <workbookView xWindow="-120" yWindow="-120" windowWidth="29040" windowHeight="16440" firstSheet="2" activeTab="3" xr2:uid="{00000000-000D-0000-FFFF-FFFF00000000}"/>
  </bookViews>
  <sheets>
    <sheet name="Control" sheetId="1" r:id="rId1"/>
    <sheet name="Treated" sheetId="2" r:id="rId2"/>
    <sheet name="Feature Analysi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AU2" i="3"/>
  <c r="AD2" i="3"/>
  <c r="F2" i="3"/>
  <c r="AT2" i="3"/>
  <c r="AO2" i="3"/>
  <c r="AL2" i="3"/>
  <c r="AF2" i="3"/>
  <c r="N2" i="3"/>
  <c r="N5" i="3" s="1"/>
  <c r="AW2" i="3"/>
  <c r="AW5" i="3" s="1"/>
  <c r="AI2" i="3"/>
  <c r="S2" i="3"/>
  <c r="E3" i="3"/>
  <c r="AU3" i="3"/>
  <c r="AD3" i="3"/>
  <c r="F3" i="3"/>
  <c r="AT3" i="3"/>
  <c r="AO3" i="3"/>
  <c r="AL3" i="3"/>
  <c r="AF3" i="3"/>
  <c r="N3" i="3"/>
  <c r="AW3" i="3"/>
  <c r="AI3" i="3"/>
  <c r="S3" i="3"/>
  <c r="E4" i="3"/>
  <c r="AU4" i="3"/>
  <c r="AD4" i="3"/>
  <c r="F4" i="3"/>
  <c r="AT4" i="3"/>
  <c r="AO4" i="3"/>
  <c r="AL4" i="3"/>
  <c r="AF4" i="3"/>
  <c r="N4" i="3"/>
  <c r="AW4" i="3"/>
  <c r="AI4" i="3"/>
  <c r="S4" i="3"/>
  <c r="E5" i="3"/>
  <c r="AU5" i="3"/>
  <c r="AD5" i="3"/>
  <c r="F5" i="3"/>
  <c r="AT5" i="3"/>
  <c r="AO5" i="3"/>
  <c r="AI5" i="3"/>
  <c r="X4" i="3"/>
  <c r="X3" i="3"/>
  <c r="X2" i="3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L11" i="2"/>
  <c r="D3" i="3" s="1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R21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L21" i="1"/>
  <c r="AM21" i="1"/>
  <c r="AN21" i="1"/>
  <c r="AO21" i="1"/>
  <c r="AP21" i="1"/>
  <c r="AQ21" i="1"/>
  <c r="AS21" i="1"/>
  <c r="AT21" i="1"/>
  <c r="AU21" i="1"/>
  <c r="AV21" i="1"/>
  <c r="AW21" i="1"/>
  <c r="AX21" i="1"/>
  <c r="AY21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Y23" i="3"/>
  <c r="AY22" i="3"/>
  <c r="AY21" i="3"/>
  <c r="AX23" i="3"/>
  <c r="AX22" i="3"/>
  <c r="AY24" i="3"/>
  <c r="AX24" i="3"/>
  <c r="AX21" i="3"/>
  <c r="AT23" i="3"/>
  <c r="AT24" i="3" s="1"/>
  <c r="AT22" i="3"/>
  <c r="AT21" i="3"/>
  <c r="AS23" i="3"/>
  <c r="AS22" i="3"/>
  <c r="AS21" i="3"/>
  <c r="AR21" i="3"/>
  <c r="AR23" i="3"/>
  <c r="AR24" i="3" s="1"/>
  <c r="AR22" i="3"/>
  <c r="AS24" i="3"/>
  <c r="AX3" i="3"/>
  <c r="AQ3" i="3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C11" i="2"/>
  <c r="H3" i="3" s="1"/>
  <c r="D11" i="2"/>
  <c r="Y3" i="3" s="1"/>
  <c r="E11" i="2"/>
  <c r="J3" i="3" s="1"/>
  <c r="F11" i="2"/>
  <c r="AP3" i="3" s="1"/>
  <c r="G11" i="2"/>
  <c r="T3" i="3" s="1"/>
  <c r="H11" i="2"/>
  <c r="L3" i="3" s="1"/>
  <c r="I11" i="2"/>
  <c r="K3" i="3" s="1"/>
  <c r="J11" i="2"/>
  <c r="O3" i="3" s="1"/>
  <c r="K11" i="2"/>
  <c r="AG3" i="3" s="1"/>
  <c r="L11" i="2"/>
  <c r="AN3" i="3" s="1"/>
  <c r="M11" i="2"/>
  <c r="I3" i="3" s="1"/>
  <c r="N11" i="2"/>
  <c r="O11" i="2"/>
  <c r="AR3" i="3" s="1"/>
  <c r="P11" i="2"/>
  <c r="P3" i="3" s="1"/>
  <c r="Q11" i="2"/>
  <c r="AB3" i="3" s="1"/>
  <c r="R11" i="2"/>
  <c r="AM3" i="3" s="1"/>
  <c r="S11" i="2"/>
  <c r="AJ3" i="3" s="1"/>
  <c r="T11" i="2"/>
  <c r="B3" i="3" s="1"/>
  <c r="U11" i="2"/>
  <c r="AK3" i="3" s="1"/>
  <c r="V11" i="2"/>
  <c r="G3" i="3" s="1"/>
  <c r="W11" i="2"/>
  <c r="AH3" i="3" s="1"/>
  <c r="X11" i="2"/>
  <c r="AV3" i="3" s="1"/>
  <c r="Y11" i="2"/>
  <c r="Z3" i="3" s="1"/>
  <c r="Z11" i="2"/>
  <c r="AA11" i="2"/>
  <c r="AY3" i="3" s="1"/>
  <c r="AB11" i="2"/>
  <c r="AC3" i="3" s="1"/>
  <c r="AC11" i="2"/>
  <c r="AE3" i="3" s="1"/>
  <c r="AD11" i="2"/>
  <c r="AS3" i="3" s="1"/>
  <c r="AE11" i="2"/>
  <c r="AA3" i="3" s="1"/>
  <c r="AF11" i="2"/>
  <c r="U3" i="3" s="1"/>
  <c r="AG11" i="2"/>
  <c r="V3" i="3" s="1"/>
  <c r="AH11" i="2"/>
  <c r="M3" i="3" s="1"/>
  <c r="AI11" i="2"/>
  <c r="C3" i="3" s="1"/>
  <c r="AJ11" i="2"/>
  <c r="R3" i="3" s="1"/>
  <c r="AK11" i="2"/>
  <c r="Q3" i="3" s="1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20" i="1"/>
  <c r="H2" i="3" s="1"/>
  <c r="D20" i="1"/>
  <c r="Y2" i="3" s="1"/>
  <c r="E20" i="1"/>
  <c r="J2" i="3" s="1"/>
  <c r="F20" i="1"/>
  <c r="AP2" i="3" s="1"/>
  <c r="G20" i="1"/>
  <c r="T2" i="3" s="1"/>
  <c r="H20" i="1"/>
  <c r="L2" i="3" s="1"/>
  <c r="I20" i="1"/>
  <c r="K2" i="3" s="1"/>
  <c r="J20" i="1"/>
  <c r="O2" i="3" s="1"/>
  <c r="K20" i="1"/>
  <c r="AG2" i="3" s="1"/>
  <c r="L20" i="1"/>
  <c r="AN2" i="3" s="1"/>
  <c r="M20" i="1"/>
  <c r="I2" i="3" s="1"/>
  <c r="N20" i="1"/>
  <c r="AX2" i="3" s="1"/>
  <c r="O20" i="1"/>
  <c r="AR2" i="3" s="1"/>
  <c r="P20" i="1"/>
  <c r="P2" i="3" s="1"/>
  <c r="Q20" i="1"/>
  <c r="AB2" i="3" s="1"/>
  <c r="R20" i="1"/>
  <c r="AM2" i="3" s="1"/>
  <c r="S20" i="1"/>
  <c r="AJ2" i="3" s="1"/>
  <c r="T20" i="1"/>
  <c r="B2" i="3" s="1"/>
  <c r="U20" i="1"/>
  <c r="AK2" i="3" s="1"/>
  <c r="V20" i="1"/>
  <c r="G2" i="3" s="1"/>
  <c r="W20" i="1"/>
  <c r="AH2" i="3" s="1"/>
  <c r="X20" i="1"/>
  <c r="AV2" i="3" s="1"/>
  <c r="Y20" i="1"/>
  <c r="Z2" i="3" s="1"/>
  <c r="Z20" i="1"/>
  <c r="AQ2" i="3" s="1"/>
  <c r="AA20" i="1"/>
  <c r="AY2" i="3" s="1"/>
  <c r="AB20" i="1"/>
  <c r="AC2" i="3" s="1"/>
  <c r="AC20" i="1"/>
  <c r="AE2" i="3" s="1"/>
  <c r="AD20" i="1"/>
  <c r="AS2" i="3" s="1"/>
  <c r="AE20" i="1"/>
  <c r="AA2" i="3" s="1"/>
  <c r="AF20" i="1"/>
  <c r="U2" i="3" s="1"/>
  <c r="AG20" i="1"/>
  <c r="V2" i="3" s="1"/>
  <c r="AH20" i="1"/>
  <c r="M2" i="3" s="1"/>
  <c r="AI20" i="1"/>
  <c r="C2" i="3" s="1"/>
  <c r="AJ20" i="1"/>
  <c r="R2" i="3" s="1"/>
  <c r="AK20" i="1"/>
  <c r="Q2" i="3" s="1"/>
  <c r="D2" i="3"/>
  <c r="C21" i="1"/>
  <c r="H4" i="3" s="1"/>
  <c r="D21" i="1"/>
  <c r="Y4" i="3" s="1"/>
  <c r="E21" i="1"/>
  <c r="J4" i="3" s="1"/>
  <c r="F21" i="1"/>
  <c r="AP4" i="3" s="1"/>
  <c r="G21" i="1"/>
  <c r="T4" i="3" s="1"/>
  <c r="H21" i="1"/>
  <c r="L4" i="3" s="1"/>
  <c r="I21" i="1"/>
  <c r="K4" i="3" s="1"/>
  <c r="J21" i="1"/>
  <c r="O4" i="3" s="1"/>
  <c r="K21" i="1"/>
  <c r="AG4" i="3" s="1"/>
  <c r="L21" i="1"/>
  <c r="AN4" i="3" s="1"/>
  <c r="M21" i="1"/>
  <c r="I4" i="3" s="1"/>
  <c r="N21" i="1"/>
  <c r="AX4" i="3" s="1"/>
  <c r="O21" i="1"/>
  <c r="AR4" i="3" s="1"/>
  <c r="P21" i="1"/>
  <c r="P4" i="3" s="1"/>
  <c r="Q21" i="1"/>
  <c r="AB4" i="3" s="1"/>
  <c r="R21" i="1"/>
  <c r="AM4" i="3" s="1"/>
  <c r="S21" i="1"/>
  <c r="AJ4" i="3" s="1"/>
  <c r="T21" i="1"/>
  <c r="B4" i="3" s="1"/>
  <c r="U21" i="1"/>
  <c r="AK4" i="3" s="1"/>
  <c r="V21" i="1"/>
  <c r="G4" i="3" s="1"/>
  <c r="W21" i="1"/>
  <c r="AH4" i="3" s="1"/>
  <c r="X21" i="1"/>
  <c r="AV4" i="3" s="1"/>
  <c r="Y21" i="1"/>
  <c r="Z4" i="3" s="1"/>
  <c r="Z21" i="1"/>
  <c r="AQ4" i="3" s="1"/>
  <c r="AA21" i="1"/>
  <c r="AY4" i="3" s="1"/>
  <c r="AB21" i="1"/>
  <c r="AC4" i="3" s="1"/>
  <c r="AC21" i="1"/>
  <c r="AE4" i="3" s="1"/>
  <c r="AD21" i="1"/>
  <c r="AS4" i="3" s="1"/>
  <c r="AE21" i="1"/>
  <c r="AA4" i="3" s="1"/>
  <c r="AF21" i="1"/>
  <c r="U4" i="3" s="1"/>
  <c r="AG21" i="1"/>
  <c r="V4" i="3" s="1"/>
  <c r="AH21" i="1"/>
  <c r="M4" i="3" s="1"/>
  <c r="AI21" i="1"/>
  <c r="C4" i="3" s="1"/>
  <c r="AJ21" i="1"/>
  <c r="R4" i="3" s="1"/>
  <c r="AK21" i="1"/>
  <c r="Q4" i="3" s="1"/>
  <c r="D4" i="3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B23" i="1"/>
  <c r="B22" i="1"/>
  <c r="B21" i="1"/>
  <c r="W4" i="3" s="1"/>
  <c r="B20" i="1"/>
  <c r="B13" i="2"/>
  <c r="B12" i="2"/>
  <c r="B11" i="2"/>
  <c r="W3" i="3" s="1"/>
  <c r="B10" i="2"/>
  <c r="S5" i="3" l="1"/>
  <c r="AF5" i="3"/>
  <c r="AL5" i="3"/>
  <c r="X5" i="3"/>
  <c r="W2" i="3"/>
  <c r="W5" i="3" s="1"/>
  <c r="Y5" i="3"/>
  <c r="AX5" i="3"/>
  <c r="P5" i="3"/>
  <c r="O5" i="3"/>
  <c r="AC5" i="3"/>
  <c r="AQ5" i="3"/>
  <c r="H5" i="3"/>
  <c r="K5" i="3"/>
  <c r="L5" i="3"/>
  <c r="AR5" i="3"/>
  <c r="D5" i="3"/>
  <c r="B5" i="3"/>
  <c r="AA5" i="3"/>
  <c r="AJ5" i="3"/>
  <c r="T5" i="3"/>
  <c r="AY5" i="3"/>
  <c r="AS5" i="3"/>
  <c r="AP5" i="3"/>
  <c r="AE5" i="3"/>
  <c r="AB5" i="3"/>
  <c r="J5" i="3"/>
  <c r="AG5" i="3"/>
  <c r="AN5" i="3"/>
  <c r="V5" i="3"/>
  <c r="U5" i="3"/>
  <c r="G5" i="3"/>
  <c r="AM5" i="3"/>
  <c r="M5" i="3"/>
  <c r="I5" i="3"/>
  <c r="C5" i="3"/>
  <c r="AH5" i="3"/>
  <c r="R5" i="3"/>
  <c r="AV5" i="3"/>
  <c r="AK5" i="3"/>
  <c r="Z5" i="3"/>
  <c r="Q5" i="3"/>
</calcChain>
</file>

<file path=xl/sharedStrings.xml><?xml version="1.0" encoding="utf-8"?>
<sst xmlns="http://schemas.openxmlformats.org/spreadsheetml/2006/main" count="197" uniqueCount="90">
  <si>
    <t>filename</t>
  </si>
  <si>
    <t>slope</t>
  </si>
  <si>
    <t>slope_normalized</t>
  </si>
  <si>
    <t>var_centre</t>
  </si>
  <si>
    <t>var_edge</t>
  </si>
  <si>
    <t>var_outside</t>
  </si>
  <si>
    <t>shift_centre</t>
  </si>
  <si>
    <t>shift_edge</t>
  </si>
  <si>
    <t>shift_outside</t>
  </si>
  <si>
    <t>grad_centre</t>
  </si>
  <si>
    <t>grad_edge</t>
  </si>
  <si>
    <t>grad_outside</t>
  </si>
  <si>
    <t>grad_sobel_centre</t>
  </si>
  <si>
    <t>grad_sobel_edge</t>
  </si>
  <si>
    <t>grad_sobel_outside</t>
  </si>
  <si>
    <t>grad_lap_centre</t>
  </si>
  <si>
    <t>grad_lap_edge</t>
  </si>
  <si>
    <t>grad_lap_outside</t>
  </si>
  <si>
    <t>max_shift</t>
  </si>
  <si>
    <t>min_shift</t>
  </si>
  <si>
    <t>max_shift_centre</t>
  </si>
  <si>
    <t>min_shift_centre</t>
  </si>
  <si>
    <t>max_grad</t>
  </si>
  <si>
    <t>min_grad</t>
  </si>
  <si>
    <t>overall_avg_grad</t>
  </si>
  <si>
    <t>max_grad_sobel</t>
  </si>
  <si>
    <t>min_grad_sobel</t>
  </si>
  <si>
    <t>overall_avg_grad_sobel</t>
  </si>
  <si>
    <t>max_grad_lap</t>
  </si>
  <si>
    <t>min_grad_lap</t>
  </si>
  <si>
    <t>overall_avg_grad_lap</t>
  </si>
  <si>
    <t>overall_variance</t>
  </si>
  <si>
    <t>tabletop_height</t>
  </si>
  <si>
    <t>tabletop_floor</t>
  </si>
  <si>
    <t>n_centre_pixels</t>
  </si>
  <si>
    <t>n_edge_pixels</t>
  </si>
  <si>
    <t>cell_size</t>
  </si>
  <si>
    <t>edge_pct</t>
  </si>
  <si>
    <t>Control1.csv</t>
  </si>
  <si>
    <t>Control10.csv</t>
  </si>
  <si>
    <t>Control11.csv</t>
  </si>
  <si>
    <t>Control12.csv</t>
  </si>
  <si>
    <t>Control13.csv</t>
  </si>
  <si>
    <t>Control14.csv</t>
  </si>
  <si>
    <t>Control15.csv</t>
  </si>
  <si>
    <t>Control16.csv</t>
  </si>
  <si>
    <t>Control17.csv</t>
  </si>
  <si>
    <t>Control18.csv</t>
  </si>
  <si>
    <t>Control3.csv</t>
  </si>
  <si>
    <t>Control4.csv</t>
  </si>
  <si>
    <t>Control5.csv</t>
  </si>
  <si>
    <t>Control6.csv</t>
  </si>
  <si>
    <t>Control7.csv</t>
  </si>
  <si>
    <t>Control8.csv</t>
  </si>
  <si>
    <t>Control9.csv</t>
  </si>
  <si>
    <t>Treated1.csv</t>
  </si>
  <si>
    <t>Treated2.csv</t>
  </si>
  <si>
    <t>Treated3.csv</t>
  </si>
  <si>
    <t>Treated4.csv</t>
  </si>
  <si>
    <t>Treated5.csv</t>
  </si>
  <si>
    <t>Treated6.csv</t>
  </si>
  <si>
    <t>Treated7.csv</t>
  </si>
  <si>
    <t>Mean</t>
  </si>
  <si>
    <t>STD</t>
  </si>
  <si>
    <t>Min</t>
  </si>
  <si>
    <t>Max</t>
  </si>
  <si>
    <t>Category</t>
  </si>
  <si>
    <t>Mean Dif</t>
  </si>
  <si>
    <t>std1 sqared</t>
  </si>
  <si>
    <t>std2 squared</t>
  </si>
  <si>
    <t>Separation Score</t>
  </si>
  <si>
    <t>vca grad</t>
  </si>
  <si>
    <t>vca sobel</t>
  </si>
  <si>
    <t>vca lapalce</t>
  </si>
  <si>
    <t>Centre</t>
  </si>
  <si>
    <t>Edge</t>
  </si>
  <si>
    <t>lw_centre_mean</t>
  </si>
  <si>
    <t>lw_centre_min</t>
  </si>
  <si>
    <t>lw_centre_max</t>
  </si>
  <si>
    <t>lw_edge_mean</t>
  </si>
  <si>
    <t>lw_edge_min</t>
  </si>
  <si>
    <t>lw_edge_max</t>
  </si>
  <si>
    <t>lw_outside_mean</t>
  </si>
  <si>
    <t>lw_outside_min</t>
  </si>
  <si>
    <t>lw_outside_max</t>
  </si>
  <si>
    <t>lw_sobel_centre</t>
  </si>
  <si>
    <t>lw_sobel_edge</t>
  </si>
  <si>
    <t>lw_sobel_outside</t>
  </si>
  <si>
    <t>lw_sobel_overall</t>
  </si>
  <si>
    <t>Centre Min Linewidth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</si>
</sst>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2" fontId="0" fillId="0" borderId="0" xfId="0" applyNumberFormat="1"/>
    <xf numFmtId="2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3"/>
  <sheetViews>
    <sheetView topLeftCell="AG12" workbookViewId="0">
      <selection activeCell="AR22" sqref="AR22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</row>
    <row r="2" spans="1:51" x14ac:dyDescent="0.25">
      <c r="A2" t="s">
        <v>38</v>
      </c>
      <c r="B2">
        <v>2.3730907059197972</v>
      </c>
      <c r="C2">
        <v>3.715272546350766E-2</v>
      </c>
      <c r="D2">
        <v>2.805208283502723</v>
      </c>
      <c r="E2">
        <v>4.8704888785719662</v>
      </c>
      <c r="F2">
        <v>2.3894121412152272</v>
      </c>
      <c r="G2">
        <v>5.835706733696929</v>
      </c>
      <c r="H2">
        <v>5.7618157556143039</v>
      </c>
      <c r="I2">
        <v>5.7030803132753176</v>
      </c>
      <c r="J2">
        <v>6.3272567811876332E-2</v>
      </c>
      <c r="K2">
        <v>5.9618101825737548E-2</v>
      </c>
      <c r="L2">
        <v>5.5460721509129368E-2</v>
      </c>
      <c r="M2">
        <v>0.15134851039738501</v>
      </c>
      <c r="N2">
        <v>0.21455163787640841</v>
      </c>
      <c r="O2">
        <v>0.27123219269118259</v>
      </c>
      <c r="P2">
        <v>0.1093720931914538</v>
      </c>
      <c r="Q2">
        <v>9.6822886736449787E-2</v>
      </c>
      <c r="R2">
        <v>7.4738311381519817E-2</v>
      </c>
      <c r="S2">
        <v>5.8645280818165588</v>
      </c>
      <c r="T2">
        <v>5.6719777264272286</v>
      </c>
      <c r="U2">
        <v>5.8645280818165588</v>
      </c>
      <c r="V2">
        <v>5.7970642926831832</v>
      </c>
      <c r="W2">
        <v>0.1167938983970547</v>
      </c>
      <c r="X2">
        <v>2.602297908322803E-2</v>
      </c>
      <c r="Y2">
        <v>6.1785635700897359E-2</v>
      </c>
      <c r="Z2">
        <v>0.60563081416552567</v>
      </c>
      <c r="AA2">
        <v>8.603071498115776E-2</v>
      </c>
      <c r="AB2">
        <v>0.17260511743362339</v>
      </c>
      <c r="AC2">
        <v>0.15282868123614721</v>
      </c>
      <c r="AD2">
        <v>4.8887228260895442E-2</v>
      </c>
      <c r="AE2">
        <v>0.10424446913639181</v>
      </c>
      <c r="AF2">
        <v>3.2957687767034369</v>
      </c>
      <c r="AG2">
        <v>5.836840436115585</v>
      </c>
      <c r="AH2">
        <v>5.6920680191212476</v>
      </c>
      <c r="AI2">
        <v>54</v>
      </c>
      <c r="AJ2">
        <v>20</v>
      </c>
      <c r="AK2">
        <v>74</v>
      </c>
      <c r="AL2">
        <v>0.27027027027027029</v>
      </c>
      <c r="AM2">
        <v>0.51525851535099343</v>
      </c>
      <c r="AN2">
        <v>0.45116073992039119</v>
      </c>
      <c r="AO2">
        <v>0.55808129899372438</v>
      </c>
      <c r="AP2">
        <v>0.47444059344605299</v>
      </c>
      <c r="AQ2">
        <v>0.41885772804393029</v>
      </c>
      <c r="AR2">
        <v>0.52871965445985181</v>
      </c>
      <c r="AS2">
        <v>0.4262437485208892</v>
      </c>
      <c r="AT2">
        <v>0.39970826199088338</v>
      </c>
      <c r="AU2">
        <v>0.45604650300329119</v>
      </c>
      <c r="AV2">
        <v>4.2224203608163292E-2</v>
      </c>
      <c r="AW2">
        <v>6.1586883041559078E-2</v>
      </c>
      <c r="AX2">
        <v>5.6315937573630348E-2</v>
      </c>
      <c r="AY2">
        <v>4.7802499589518051E-2</v>
      </c>
    </row>
    <row r="3" spans="1:51" x14ac:dyDescent="0.25">
      <c r="A3" t="s">
        <v>39</v>
      </c>
      <c r="B3">
        <v>1.944329043822951</v>
      </c>
      <c r="C3">
        <v>3.6854305746800209E-2</v>
      </c>
      <c r="D3">
        <v>1.4556230799333061</v>
      </c>
      <c r="E3">
        <v>1.477795971411487</v>
      </c>
      <c r="F3">
        <v>1.2297257155803001</v>
      </c>
      <c r="G3">
        <v>5.8080918307186922</v>
      </c>
      <c r="H3">
        <v>5.7508125528678873</v>
      </c>
      <c r="I3">
        <v>5.6913731960667846</v>
      </c>
      <c r="J3">
        <v>8.0109827307819653E-2</v>
      </c>
      <c r="K3">
        <v>8.1860314247421795E-2</v>
      </c>
      <c r="L3">
        <v>9.3706977969772093E-2</v>
      </c>
      <c r="M3">
        <v>0.1866892131690536</v>
      </c>
      <c r="N3">
        <v>0.240643131154471</v>
      </c>
      <c r="O3">
        <v>0.2151011866100124</v>
      </c>
      <c r="P3">
        <v>0.1388859297956595</v>
      </c>
      <c r="Q3">
        <v>0.13366934467290889</v>
      </c>
      <c r="R3">
        <v>0.159180567227312</v>
      </c>
      <c r="S3">
        <v>5.8305299736559153</v>
      </c>
      <c r="T3">
        <v>5.6718161046009792</v>
      </c>
      <c r="U3">
        <v>5.8305299736559153</v>
      </c>
      <c r="V3">
        <v>5.7683648672083079</v>
      </c>
      <c r="W3">
        <v>0.16924902388799329</v>
      </c>
      <c r="X3">
        <v>5.5557476590776887E-2</v>
      </c>
      <c r="Y3">
        <v>8.3456799625612463E-2</v>
      </c>
      <c r="Z3">
        <v>0.36057055316055969</v>
      </c>
      <c r="AA3">
        <v>0.12885821627019689</v>
      </c>
      <c r="AB3">
        <v>0.20541147724663719</v>
      </c>
      <c r="AC3">
        <v>0.21527611999244359</v>
      </c>
      <c r="AD3">
        <v>9.5825594579621295E-2</v>
      </c>
      <c r="AE3">
        <v>0.1417782257132772</v>
      </c>
      <c r="AF3">
        <v>1.4057621970843599</v>
      </c>
      <c r="AG3">
        <v>5.8098971815491316</v>
      </c>
      <c r="AH3">
        <v>5.687407520791397</v>
      </c>
      <c r="AI3">
        <v>45</v>
      </c>
      <c r="AJ3">
        <v>15</v>
      </c>
      <c r="AK3">
        <v>60</v>
      </c>
      <c r="AL3">
        <v>0.25</v>
      </c>
      <c r="AM3">
        <v>0.5407822752094722</v>
      </c>
      <c r="AN3">
        <v>0.51221368823663327</v>
      </c>
      <c r="AO3">
        <v>0.57999199579411798</v>
      </c>
      <c r="AP3">
        <v>0.51230013589217205</v>
      </c>
      <c r="AQ3">
        <v>0.46459789285064051</v>
      </c>
      <c r="AR3">
        <v>0.55080172098455193</v>
      </c>
      <c r="AS3">
        <v>0.48301542661593899</v>
      </c>
      <c r="AT3">
        <v>0.43208946928610981</v>
      </c>
      <c r="AU3">
        <v>0.53880111759210603</v>
      </c>
      <c r="AV3">
        <v>4.0689794605077052E-2</v>
      </c>
      <c r="AW3">
        <v>6.5487577185439572E-2</v>
      </c>
      <c r="AX3">
        <v>9.1007118305870063E-2</v>
      </c>
      <c r="AY3">
        <v>5.6177214577683973E-2</v>
      </c>
    </row>
    <row r="4" spans="1:51" x14ac:dyDescent="0.25">
      <c r="A4" t="s">
        <v>40</v>
      </c>
      <c r="B4">
        <v>1.617378418982593</v>
      </c>
      <c r="C4">
        <v>2.821054494712702E-2</v>
      </c>
      <c r="D4">
        <v>1.973439053564052</v>
      </c>
      <c r="E4">
        <v>2.8350937756175658</v>
      </c>
      <c r="F4">
        <v>1.0700988887137439</v>
      </c>
      <c r="G4">
        <v>5.8437821238205778</v>
      </c>
      <c r="H4">
        <v>5.7641877749570236</v>
      </c>
      <c r="I4">
        <v>5.6873686383186648</v>
      </c>
      <c r="J4">
        <v>5.5612261745203249E-2</v>
      </c>
      <c r="K4">
        <v>6.3583086034575603E-2</v>
      </c>
      <c r="L4">
        <v>5.4551805405048358E-2</v>
      </c>
      <c r="M4">
        <v>0.1404179027421795</v>
      </c>
      <c r="N4">
        <v>0.29836333687117872</v>
      </c>
      <c r="O4">
        <v>0.1364742812001912</v>
      </c>
      <c r="P4">
        <v>9.4380455619567524E-2</v>
      </c>
      <c r="Q4">
        <v>8.7242924896465276E-2</v>
      </c>
      <c r="R4">
        <v>9.2638898458146574E-2</v>
      </c>
      <c r="S4">
        <v>5.8795164779718716</v>
      </c>
      <c r="T4">
        <v>5.6702001112584233</v>
      </c>
      <c r="U4">
        <v>5.8795164779718716</v>
      </c>
      <c r="V4">
        <v>5.8027088901199688</v>
      </c>
      <c r="W4">
        <v>0.1100156200835416</v>
      </c>
      <c r="X4">
        <v>3.6300067626101433E-2</v>
      </c>
      <c r="Y4">
        <v>5.6998164111828752E-2</v>
      </c>
      <c r="Z4">
        <v>0.54380824342347756</v>
      </c>
      <c r="AA4">
        <v>8.2839274485164593E-2</v>
      </c>
      <c r="AB4">
        <v>0.1728366441874038</v>
      </c>
      <c r="AC4">
        <v>0.1294040027292867</v>
      </c>
      <c r="AD4">
        <v>5.984362707329105E-2</v>
      </c>
      <c r="AE4">
        <v>9.2561847257677243E-2</v>
      </c>
      <c r="AF4">
        <v>1.886341370925124</v>
      </c>
      <c r="AG4">
        <v>5.8456746090911924</v>
      </c>
      <c r="AH4">
        <v>5.6837746545189596</v>
      </c>
      <c r="AI4">
        <v>51</v>
      </c>
      <c r="AJ4">
        <v>13</v>
      </c>
      <c r="AK4">
        <v>64</v>
      </c>
      <c r="AL4">
        <v>0.203125</v>
      </c>
      <c r="AM4">
        <v>0.51494762449101916</v>
      </c>
      <c r="AN4">
        <v>0.46746054697659101</v>
      </c>
      <c r="AO4">
        <v>0.56938883574837384</v>
      </c>
      <c r="AP4">
        <v>0.48558548392984341</v>
      </c>
      <c r="AQ4">
        <v>0.41206380844967028</v>
      </c>
      <c r="AR4">
        <v>0.5222793565536582</v>
      </c>
      <c r="AS4">
        <v>0.41305671256823062</v>
      </c>
      <c r="AT4">
        <v>0.37882128128434561</v>
      </c>
      <c r="AU4">
        <v>0.44934813695772469</v>
      </c>
      <c r="AV4">
        <v>5.3096981495595247E-2</v>
      </c>
      <c r="AW4">
        <v>0.1143976469088917</v>
      </c>
      <c r="AX4">
        <v>6.3762413111143168E-2</v>
      </c>
      <c r="AY4">
        <v>6.5173783814572631E-2</v>
      </c>
    </row>
    <row r="5" spans="1:51" x14ac:dyDescent="0.25">
      <c r="A5" t="s">
        <v>41</v>
      </c>
      <c r="B5">
        <v>1.257160787456832</v>
      </c>
      <c r="C5">
        <v>2.052173114599587E-2</v>
      </c>
      <c r="D5">
        <v>2.018465946894715</v>
      </c>
      <c r="E5">
        <v>1.247870513398504</v>
      </c>
      <c r="F5">
        <v>0.83880620293189623</v>
      </c>
      <c r="G5">
        <v>5.8618256596916023</v>
      </c>
      <c r="H5">
        <v>5.7859049352221588</v>
      </c>
      <c r="I5">
        <v>5.707135385442669</v>
      </c>
      <c r="J5">
        <v>6.8511182649578437E-2</v>
      </c>
      <c r="K5">
        <v>7.471475487861988E-2</v>
      </c>
      <c r="L5">
        <v>7.3983836627689453E-2</v>
      </c>
      <c r="M5">
        <v>0.15655616697818239</v>
      </c>
      <c r="N5">
        <v>0.36681850075190109</v>
      </c>
      <c r="O5">
        <v>0.16871804590021541</v>
      </c>
      <c r="P5">
        <v>0.1187950356197791</v>
      </c>
      <c r="Q5">
        <v>0.1091295947994427</v>
      </c>
      <c r="R5">
        <v>0.1226925919795676</v>
      </c>
      <c r="S5">
        <v>5.8882327499073872</v>
      </c>
      <c r="T5">
        <v>5.6842319458842843</v>
      </c>
      <c r="U5">
        <v>5.8882327499073872</v>
      </c>
      <c r="V5">
        <v>5.8304582399694231</v>
      </c>
      <c r="W5">
        <v>0.12330015398152221</v>
      </c>
      <c r="X5">
        <v>4.3928824161294573E-2</v>
      </c>
      <c r="Y5">
        <v>7.0587521635963629E-2</v>
      </c>
      <c r="Z5">
        <v>0.53913005243017664</v>
      </c>
      <c r="AA5">
        <v>0.1071105550374349</v>
      </c>
      <c r="AB5">
        <v>0.1948497114080403</v>
      </c>
      <c r="AC5">
        <v>0.2245554933712369</v>
      </c>
      <c r="AD5">
        <v>7.4301927305831239E-2</v>
      </c>
      <c r="AE5">
        <v>0.1178690979560697</v>
      </c>
      <c r="AF5">
        <v>1.6659399941976269</v>
      </c>
      <c r="AG5">
        <v>5.862329994736859</v>
      </c>
      <c r="AH5">
        <v>5.7047413232148454</v>
      </c>
      <c r="AI5">
        <v>56</v>
      </c>
      <c r="AJ5">
        <v>10</v>
      </c>
      <c r="AK5">
        <v>66</v>
      </c>
      <c r="AL5">
        <v>0.15151515151515149</v>
      </c>
      <c r="AM5">
        <v>0.51671205167934786</v>
      </c>
      <c r="AN5">
        <v>0.46445133963828089</v>
      </c>
      <c r="AO5">
        <v>0.55750707526105292</v>
      </c>
      <c r="AP5">
        <v>0.45097052348076072</v>
      </c>
      <c r="AQ5">
        <v>0.39824200630617679</v>
      </c>
      <c r="AR5">
        <v>0.52750857045486066</v>
      </c>
      <c r="AS5">
        <v>0.39869138176128682</v>
      </c>
      <c r="AT5">
        <v>0.35578505905036578</v>
      </c>
      <c r="AU5">
        <v>0.45238001554825258</v>
      </c>
      <c r="AV5">
        <v>4.474766472724493E-2</v>
      </c>
      <c r="AW5">
        <v>0.14768404332551341</v>
      </c>
      <c r="AX5">
        <v>7.6962337712817713E-2</v>
      </c>
      <c r="AY5">
        <v>6.3421539798433527E-2</v>
      </c>
    </row>
    <row r="6" spans="1:51" x14ac:dyDescent="0.25">
      <c r="A6" t="s">
        <v>42</v>
      </c>
      <c r="B6">
        <v>1.818574637231708</v>
      </c>
      <c r="C6">
        <v>4.6007413721655302E-2</v>
      </c>
      <c r="D6">
        <v>1.686190142627805</v>
      </c>
      <c r="E6">
        <v>2.0652191866963379</v>
      </c>
      <c r="F6">
        <v>4.9925630638236793</v>
      </c>
      <c r="G6">
        <v>5.857819965214742</v>
      </c>
      <c r="H6">
        <v>5.7951159545777644</v>
      </c>
      <c r="I6">
        <v>5.7276765012762754</v>
      </c>
      <c r="J6">
        <v>6.5695633965432376E-2</v>
      </c>
      <c r="K6">
        <v>6.6066045893431652E-2</v>
      </c>
      <c r="L6">
        <v>9.2431511176519821E-2</v>
      </c>
      <c r="M6">
        <v>0.15611661266179611</v>
      </c>
      <c r="N6">
        <v>0.26725188274961492</v>
      </c>
      <c r="O6">
        <v>0.17445462504680581</v>
      </c>
      <c r="P6">
        <v>0.1130662337861764</v>
      </c>
      <c r="Q6">
        <v>0.10317787711864999</v>
      </c>
      <c r="R6">
        <v>0.15234384252477359</v>
      </c>
      <c r="S6">
        <v>5.8836912343818293</v>
      </c>
      <c r="T6">
        <v>5.706688555220083</v>
      </c>
      <c r="U6">
        <v>5.8836912343818293</v>
      </c>
      <c r="V6">
        <v>5.8346839934786834</v>
      </c>
      <c r="W6">
        <v>0.19229651097359091</v>
      </c>
      <c r="X6">
        <v>4.2599213211300883E-2</v>
      </c>
      <c r="Y6">
        <v>7.1153932986049648E-2</v>
      </c>
      <c r="Z6">
        <v>0.43238818111333938</v>
      </c>
      <c r="AA6">
        <v>9.6826289200903345E-2</v>
      </c>
      <c r="AB6">
        <v>0.1941074367503193</v>
      </c>
      <c r="AC6">
        <v>0.27679704815176459</v>
      </c>
      <c r="AD6">
        <v>7.4033433868778864E-2</v>
      </c>
      <c r="AE6">
        <v>0.1173723910083644</v>
      </c>
      <c r="AF6">
        <v>2.586364924046471</v>
      </c>
      <c r="AG6">
        <v>5.859547748022762</v>
      </c>
      <c r="AH6">
        <v>5.7230456632539424</v>
      </c>
      <c r="AI6">
        <v>32</v>
      </c>
      <c r="AJ6">
        <v>14</v>
      </c>
      <c r="AK6">
        <v>46</v>
      </c>
      <c r="AL6">
        <v>0.30434782608695649</v>
      </c>
      <c r="AM6">
        <v>0.51665347297940656</v>
      </c>
      <c r="AN6">
        <v>0.46450611764439342</v>
      </c>
      <c r="AO6">
        <v>0.55142912043139514</v>
      </c>
      <c r="AP6">
        <v>0.48014198477738967</v>
      </c>
      <c r="AQ6">
        <v>0.43367235182672298</v>
      </c>
      <c r="AR6">
        <v>0.52124759914051766</v>
      </c>
      <c r="AS6">
        <v>0.40840400138109861</v>
      </c>
      <c r="AT6">
        <v>0.36932273552170009</v>
      </c>
      <c r="AU6">
        <v>0.43931669977893978</v>
      </c>
      <c r="AV6">
        <v>5.4179354088501643E-2</v>
      </c>
      <c r="AW6">
        <v>8.7004611239729621E-2</v>
      </c>
      <c r="AX6">
        <v>6.752412182219697E-2</v>
      </c>
      <c r="AY6">
        <v>6.4817004004077791E-2</v>
      </c>
    </row>
    <row r="7" spans="1:51" x14ac:dyDescent="0.25">
      <c r="A7" t="s">
        <v>43</v>
      </c>
      <c r="B7">
        <v>1.737167180907043</v>
      </c>
      <c r="C7">
        <v>2.8464305921654189E-2</v>
      </c>
      <c r="D7">
        <v>2.4084770229388539</v>
      </c>
      <c r="E7">
        <v>4.0618546525965904</v>
      </c>
      <c r="F7">
        <v>1.661629211711237</v>
      </c>
      <c r="G7">
        <v>5.8608898752539336</v>
      </c>
      <c r="H7">
        <v>5.7783074932992591</v>
      </c>
      <c r="I7">
        <v>5.6952815282645464</v>
      </c>
      <c r="J7">
        <v>6.1226613377150248E-2</v>
      </c>
      <c r="K7">
        <v>7.1825899988919015E-2</v>
      </c>
      <c r="L7">
        <v>6.0930862349823388E-2</v>
      </c>
      <c r="M7">
        <v>0.1520539425318819</v>
      </c>
      <c r="N7">
        <v>0.29086387656030199</v>
      </c>
      <c r="O7">
        <v>0.13399787116214609</v>
      </c>
      <c r="P7">
        <v>0.1038213269546472</v>
      </c>
      <c r="Q7">
        <v>0.1120384246569975</v>
      </c>
      <c r="R7">
        <v>0.11131709720265549</v>
      </c>
      <c r="S7">
        <v>5.9012046287592481</v>
      </c>
      <c r="T7">
        <v>5.6684083754969663</v>
      </c>
      <c r="U7">
        <v>5.9012046287592481</v>
      </c>
      <c r="V7">
        <v>5.82612349173644</v>
      </c>
      <c r="W7">
        <v>0.165294514821721</v>
      </c>
      <c r="X7">
        <v>3.3795416901875951E-2</v>
      </c>
      <c r="Y7">
        <v>6.3418976831290663E-2</v>
      </c>
      <c r="Z7">
        <v>0.64041517309538531</v>
      </c>
      <c r="AA7">
        <v>9.5009515097721056E-2</v>
      </c>
      <c r="AB7">
        <v>0.1798820639474274</v>
      </c>
      <c r="AC7">
        <v>0.1963746182031974</v>
      </c>
      <c r="AD7">
        <v>6.0728388171464497E-2</v>
      </c>
      <c r="AE7">
        <v>0.10683142864648559</v>
      </c>
      <c r="AF7">
        <v>2.5257036841567619</v>
      </c>
      <c r="AG7">
        <v>5.8627270221140453</v>
      </c>
      <c r="AH7">
        <v>5.6907317840122946</v>
      </c>
      <c r="AI7">
        <v>54</v>
      </c>
      <c r="AJ7">
        <v>14</v>
      </c>
      <c r="AK7">
        <v>68</v>
      </c>
      <c r="AL7">
        <v>0.20588235294117649</v>
      </c>
      <c r="AM7">
        <v>0.51900277521803606</v>
      </c>
      <c r="AN7">
        <v>0.48097600535321211</v>
      </c>
      <c r="AO7">
        <v>0.55769773319250482</v>
      </c>
      <c r="AP7">
        <v>0.46607299682345987</v>
      </c>
      <c r="AQ7">
        <v>0.39075119934536118</v>
      </c>
      <c r="AR7">
        <v>0.52895234860756069</v>
      </c>
      <c r="AS7">
        <v>0.40317115266356912</v>
      </c>
      <c r="AT7">
        <v>0.37922619861276141</v>
      </c>
      <c r="AU7">
        <v>0.44442157430954599</v>
      </c>
      <c r="AV7">
        <v>4.3706392089960043E-2</v>
      </c>
      <c r="AW7">
        <v>0.1227221403361716</v>
      </c>
      <c r="AX7">
        <v>4.2168791515235032E-2</v>
      </c>
      <c r="AY7">
        <v>5.6934368521677263E-2</v>
      </c>
    </row>
    <row r="8" spans="1:51" x14ac:dyDescent="0.25">
      <c r="A8" t="s">
        <v>44</v>
      </c>
      <c r="B8">
        <v>2.3790007475356569</v>
      </c>
      <c r="C8">
        <v>4.0554929584224547E-2</v>
      </c>
      <c r="D8">
        <v>2.7485394796471772</v>
      </c>
      <c r="E8">
        <v>1.4539581927092271</v>
      </c>
      <c r="F8">
        <v>3.5370996755420059</v>
      </c>
      <c r="G8">
        <v>5.8274549578951031</v>
      </c>
      <c r="H8">
        <v>5.7664591971386434</v>
      </c>
      <c r="I8">
        <v>5.7030554166331466</v>
      </c>
      <c r="J8">
        <v>0.1020049757131042</v>
      </c>
      <c r="K8">
        <v>0.11267512349588921</v>
      </c>
      <c r="L8">
        <v>0.1406472768324715</v>
      </c>
      <c r="M8">
        <v>0.22318165145412519</v>
      </c>
      <c r="N8">
        <v>0.3211304992349886</v>
      </c>
      <c r="O8">
        <v>0.3003082177669153</v>
      </c>
      <c r="P8">
        <v>0.17758939266963669</v>
      </c>
      <c r="Q8">
        <v>0.2037929908336546</v>
      </c>
      <c r="R8">
        <v>0.23682589457799991</v>
      </c>
      <c r="S8">
        <v>5.866724319425602</v>
      </c>
      <c r="T8">
        <v>5.6637724649978676</v>
      </c>
      <c r="U8">
        <v>5.866724319425602</v>
      </c>
      <c r="V8">
        <v>5.7933419093512004</v>
      </c>
      <c r="W8">
        <v>0.38748128527006792</v>
      </c>
      <c r="X8">
        <v>6.8126700263220055E-2</v>
      </c>
      <c r="Y8">
        <v>0.11320041208653329</v>
      </c>
      <c r="Z8">
        <v>0.79943986917981713</v>
      </c>
      <c r="AA8">
        <v>0.15517015056273961</v>
      </c>
      <c r="AB8">
        <v>0.26302103396557841</v>
      </c>
      <c r="AC8">
        <v>0.63534509879321754</v>
      </c>
      <c r="AD8">
        <v>0.1150854639244229</v>
      </c>
      <c r="AE8">
        <v>0.19671268138724671</v>
      </c>
      <c r="AF8">
        <v>2.7146002510463441</v>
      </c>
      <c r="AG8">
        <v>5.8300927637523081</v>
      </c>
      <c r="AH8">
        <v>5.7003541179563486</v>
      </c>
      <c r="AI8">
        <v>50</v>
      </c>
      <c r="AJ8">
        <v>18</v>
      </c>
      <c r="AK8">
        <v>68</v>
      </c>
      <c r="AL8">
        <v>0.26470588235294118</v>
      </c>
      <c r="AM8">
        <v>0.5240633393959131</v>
      </c>
      <c r="AN8">
        <v>0.48608585074929872</v>
      </c>
      <c r="AO8">
        <v>0.57525640318986149</v>
      </c>
      <c r="AP8">
        <v>0.47857422106719821</v>
      </c>
      <c r="AQ8">
        <v>0.41788349690301352</v>
      </c>
      <c r="AR8">
        <v>0.52169966402450052</v>
      </c>
      <c r="AS8">
        <v>0.44738745660904022</v>
      </c>
      <c r="AT8">
        <v>0.39224386972476438</v>
      </c>
      <c r="AU8">
        <v>0.49423268744182908</v>
      </c>
      <c r="AV8">
        <v>5.6570486752453297E-2</v>
      </c>
      <c r="AW8">
        <v>7.3288157347670899E-2</v>
      </c>
      <c r="AX8">
        <v>7.1032175349077131E-2</v>
      </c>
      <c r="AY8">
        <v>6.3187614959921923E-2</v>
      </c>
    </row>
    <row r="9" spans="1:51" x14ac:dyDescent="0.25">
      <c r="A9" t="s">
        <v>45</v>
      </c>
      <c r="B9">
        <v>3.833133151769692</v>
      </c>
      <c r="C9">
        <v>8.8567481758396654E-2</v>
      </c>
      <c r="D9">
        <v>0.81449923906833366</v>
      </c>
      <c r="E9">
        <v>0.68634719931371724</v>
      </c>
      <c r="F9">
        <v>9.5168431682985596E-2</v>
      </c>
      <c r="G9">
        <v>5.7642900623740534</v>
      </c>
      <c r="H9">
        <v>5.7290359945317562</v>
      </c>
      <c r="I9">
        <v>5.6928742018048304</v>
      </c>
      <c r="J9">
        <v>5.2845958885145421E-2</v>
      </c>
      <c r="K9">
        <v>5.7478118146050687E-2</v>
      </c>
      <c r="L9">
        <v>6.6924208420713713E-2</v>
      </c>
      <c r="M9">
        <v>0.1271979643835158</v>
      </c>
      <c r="N9">
        <v>0.16159089107198971</v>
      </c>
      <c r="O9">
        <v>0.15700561379082931</v>
      </c>
      <c r="P9">
        <v>9.0806895607867505E-2</v>
      </c>
      <c r="Q9">
        <v>9.7911139581419684E-2</v>
      </c>
      <c r="R9">
        <v>0.12116366954898029</v>
      </c>
      <c r="S9">
        <v>5.7818412660348297</v>
      </c>
      <c r="T9">
        <v>5.6904527997426761</v>
      </c>
      <c r="U9">
        <v>5.7818412660348297</v>
      </c>
      <c r="V9">
        <v>5.746587291950763</v>
      </c>
      <c r="W9">
        <v>8.7920966900365174E-2</v>
      </c>
      <c r="X9">
        <v>3.5744400449604093E-2</v>
      </c>
      <c r="Y9">
        <v>5.5943153646724877E-2</v>
      </c>
      <c r="Z9">
        <v>0.29903085403189522</v>
      </c>
      <c r="AA9">
        <v>9.1999677434962721E-2</v>
      </c>
      <c r="AB9">
        <v>0.14582244596354271</v>
      </c>
      <c r="AC9">
        <v>0.13432980128943711</v>
      </c>
      <c r="AD9">
        <v>6.8586272459198988E-2</v>
      </c>
      <c r="AE9">
        <v>9.5568677151297049E-2</v>
      </c>
      <c r="AF9">
        <v>0.70900413129384954</v>
      </c>
      <c r="AG9">
        <v>5.767669168553736</v>
      </c>
      <c r="AH9">
        <v>5.6866152047069809</v>
      </c>
      <c r="AI9">
        <v>28</v>
      </c>
      <c r="AJ9">
        <v>29</v>
      </c>
      <c r="AK9">
        <v>57</v>
      </c>
      <c r="AL9">
        <v>0.50877192982456143</v>
      </c>
      <c r="AM9">
        <v>0.43355272238109471</v>
      </c>
      <c r="AN9">
        <v>0.40160701789613718</v>
      </c>
      <c r="AO9">
        <v>0.46626867160952412</v>
      </c>
      <c r="AP9">
        <v>0.40771015319253229</v>
      </c>
      <c r="AQ9">
        <v>0.36139700013560427</v>
      </c>
      <c r="AR9">
        <v>0.45486044594701752</v>
      </c>
      <c r="AS9">
        <v>0.39973762720908063</v>
      </c>
      <c r="AT9">
        <v>0.38764885407626631</v>
      </c>
      <c r="AU9">
        <v>0.42949086954673238</v>
      </c>
      <c r="AV9">
        <v>5.0096405757544087E-2</v>
      </c>
      <c r="AW9">
        <v>5.8026944902460201E-2</v>
      </c>
      <c r="AX9">
        <v>5.8061003973669201E-2</v>
      </c>
      <c r="AY9">
        <v>5.413243651798242E-2</v>
      </c>
    </row>
    <row r="10" spans="1:51" x14ac:dyDescent="0.25">
      <c r="A10" t="s">
        <v>46</v>
      </c>
      <c r="B10">
        <v>2.2891620330492799</v>
      </c>
      <c r="C10">
        <v>4.093611676400255E-2</v>
      </c>
      <c r="D10">
        <v>2.6848789109366709</v>
      </c>
      <c r="E10">
        <v>1.746322629013936</v>
      </c>
      <c r="F10">
        <v>1.6346996097893769</v>
      </c>
      <c r="G10">
        <v>5.808711995159439</v>
      </c>
      <c r="H10">
        <v>5.7555571963180974</v>
      </c>
      <c r="I10">
        <v>5.6996603630827201</v>
      </c>
      <c r="J10">
        <v>9.3995696728355504E-2</v>
      </c>
      <c r="K10">
        <v>8.8060051502382913E-2</v>
      </c>
      <c r="L10">
        <v>9.0812339255179925E-2</v>
      </c>
      <c r="M10">
        <v>0.2234555866554028</v>
      </c>
      <c r="N10">
        <v>0.25004019085818008</v>
      </c>
      <c r="O10">
        <v>0.22178075945247899</v>
      </c>
      <c r="P10">
        <v>0.16045194735418641</v>
      </c>
      <c r="Q10">
        <v>0.15050105727578331</v>
      </c>
      <c r="R10">
        <v>0.1536972792602378</v>
      </c>
      <c r="S10">
        <v>5.8465938154089594</v>
      </c>
      <c r="T10">
        <v>5.6767992168612897</v>
      </c>
      <c r="U10">
        <v>5.8465938154089594</v>
      </c>
      <c r="V10">
        <v>5.7669334120891014</v>
      </c>
      <c r="W10">
        <v>0.17547906922044251</v>
      </c>
      <c r="X10">
        <v>5.0560594191686528E-2</v>
      </c>
      <c r="Y10">
        <v>9.1731236541083991E-2</v>
      </c>
      <c r="Z10">
        <v>0.37655851892544701</v>
      </c>
      <c r="AA10">
        <v>0.14749566237195999</v>
      </c>
      <c r="AB10">
        <v>0.22979311249911111</v>
      </c>
      <c r="AC10">
        <v>0.24811090666725241</v>
      </c>
      <c r="AD10">
        <v>9.8244276438590045E-2</v>
      </c>
      <c r="AE10">
        <v>0.15632248353630171</v>
      </c>
      <c r="AF10">
        <v>2.212947583737388</v>
      </c>
      <c r="AG10">
        <v>5.811210526085401</v>
      </c>
      <c r="AH10">
        <v>5.6966444261352613</v>
      </c>
      <c r="AI10">
        <v>47</v>
      </c>
      <c r="AJ10">
        <v>18</v>
      </c>
      <c r="AK10">
        <v>65</v>
      </c>
      <c r="AL10">
        <v>0.27692307692307688</v>
      </c>
      <c r="AM10">
        <v>0.5131293995414522</v>
      </c>
      <c r="AN10">
        <v>0.45181672928059519</v>
      </c>
      <c r="AO10">
        <v>0.57036924634146335</v>
      </c>
      <c r="AP10">
        <v>0.48724125409069552</v>
      </c>
      <c r="AQ10">
        <v>0.43294719718627728</v>
      </c>
      <c r="AR10">
        <v>0.52468300184162386</v>
      </c>
      <c r="AS10">
        <v>0.45234705945002113</v>
      </c>
      <c r="AT10">
        <v>0.41003668291981998</v>
      </c>
      <c r="AU10">
        <v>0.50261759457899891</v>
      </c>
      <c r="AV10">
        <v>9.4459554811678378E-2</v>
      </c>
      <c r="AW10">
        <v>6.7640780576477336E-2</v>
      </c>
      <c r="AX10">
        <v>8.1664482755057874E-2</v>
      </c>
      <c r="AY10">
        <v>8.5675307438353429E-2</v>
      </c>
    </row>
    <row r="11" spans="1:51" x14ac:dyDescent="0.25">
      <c r="A11" t="s">
        <v>47</v>
      </c>
      <c r="B11">
        <v>2.983968094243957</v>
      </c>
      <c r="C11">
        <v>7.5567254362892175E-2</v>
      </c>
      <c r="D11">
        <v>1.1794546225378579</v>
      </c>
      <c r="E11">
        <v>0.4066598074666925</v>
      </c>
      <c r="F11">
        <v>0.56414219473380334</v>
      </c>
      <c r="G11">
        <v>5.7490461909517281</v>
      </c>
      <c r="H11">
        <v>5.727095827675492</v>
      </c>
      <c r="I11">
        <v>5.7035900711342</v>
      </c>
      <c r="J11">
        <v>5.393043409897437E-2</v>
      </c>
      <c r="K11">
        <v>5.2047148728046083E-2</v>
      </c>
      <c r="L11">
        <v>4.8952010673596232E-2</v>
      </c>
      <c r="M11">
        <v>0.12633277649183511</v>
      </c>
      <c r="N11">
        <v>0.13593342338665429</v>
      </c>
      <c r="O11">
        <v>0.1181190337397654</v>
      </c>
      <c r="P11">
        <v>9.1582567969432135E-2</v>
      </c>
      <c r="Q11">
        <v>8.8694181263610103E-2</v>
      </c>
      <c r="R11">
        <v>8.7120379624322314E-2</v>
      </c>
      <c r="S11">
        <v>5.7740402605640551</v>
      </c>
      <c r="T11">
        <v>5.6903881397510832</v>
      </c>
      <c r="U11">
        <v>5.7740402605640551</v>
      </c>
      <c r="V11">
        <v>5.7219336906500473</v>
      </c>
      <c r="W11">
        <v>7.5825147507726301E-2</v>
      </c>
      <c r="X11">
        <v>3.5484981002282548E-2</v>
      </c>
      <c r="Y11">
        <v>5.245055398152168E-2</v>
      </c>
      <c r="Z11">
        <v>0.18951232151270009</v>
      </c>
      <c r="AA11">
        <v>8.4005996278251754E-2</v>
      </c>
      <c r="AB11">
        <v>0.1296789820332046</v>
      </c>
      <c r="AC11">
        <v>0.1194305792776396</v>
      </c>
      <c r="AD11">
        <v>6.1039897019601962E-2</v>
      </c>
      <c r="AE11">
        <v>8.9780307414056862E-2</v>
      </c>
      <c r="AF11">
        <v>0.79133338314445312</v>
      </c>
      <c r="AG11">
        <v>5.7505824697138062</v>
      </c>
      <c r="AH11">
        <v>5.7022876819437416</v>
      </c>
      <c r="AI11">
        <v>28</v>
      </c>
      <c r="AJ11">
        <v>23</v>
      </c>
      <c r="AK11">
        <v>51</v>
      </c>
      <c r="AL11">
        <v>0.45098039215686281</v>
      </c>
      <c r="AM11">
        <v>0.42589247915880202</v>
      </c>
      <c r="AN11">
        <v>0.39571705713043598</v>
      </c>
      <c r="AO11">
        <v>0.44751148093927029</v>
      </c>
      <c r="AP11">
        <v>0.40792851666530328</v>
      </c>
      <c r="AQ11">
        <v>0.38372023468389982</v>
      </c>
      <c r="AR11">
        <v>0.43156787565547022</v>
      </c>
      <c r="AS11">
        <v>0.3921699159310052</v>
      </c>
      <c r="AT11">
        <v>0.37956755094521938</v>
      </c>
      <c r="AU11">
        <v>0.40889019770146662</v>
      </c>
      <c r="AV11">
        <v>3.8804702181854688E-2</v>
      </c>
      <c r="AW11">
        <v>2.8752625056788279E-2</v>
      </c>
      <c r="AX11">
        <v>2.168700054826652E-2</v>
      </c>
      <c r="AY11">
        <v>3.2822779231212969E-2</v>
      </c>
    </row>
    <row r="12" spans="1:51" x14ac:dyDescent="0.25">
      <c r="A12" t="s">
        <v>48</v>
      </c>
      <c r="B12">
        <v>2.3340301847102478</v>
      </c>
      <c r="C12">
        <v>5.0865134484166817E-2</v>
      </c>
      <c r="D12">
        <v>3.6194810654600249</v>
      </c>
      <c r="E12">
        <v>2.0220461159766199</v>
      </c>
      <c r="F12">
        <v>2.9694736084334732</v>
      </c>
      <c r="G12">
        <v>5.8543772521282511</v>
      </c>
      <c r="H12">
        <v>5.7810583804195561</v>
      </c>
      <c r="I12">
        <v>5.7030869266090756</v>
      </c>
      <c r="J12">
        <v>6.3838148224786603E-2</v>
      </c>
      <c r="K12">
        <v>6.7336159260681677E-2</v>
      </c>
      <c r="L12">
        <v>6.3238915848408864E-2</v>
      </c>
      <c r="M12">
        <v>0.1553714315087539</v>
      </c>
      <c r="N12">
        <v>0.23596243243034939</v>
      </c>
      <c r="O12">
        <v>0.1774738028339839</v>
      </c>
      <c r="P12">
        <v>0.1101456625752758</v>
      </c>
      <c r="Q12">
        <v>0.1098907948366185</v>
      </c>
      <c r="R12">
        <v>0.10659779537835359</v>
      </c>
      <c r="S12">
        <v>5.8994734407021694</v>
      </c>
      <c r="T12">
        <v>5.6811132733722003</v>
      </c>
      <c r="U12">
        <v>5.8994734407021694</v>
      </c>
      <c r="V12">
        <v>5.8028332770052753</v>
      </c>
      <c r="W12">
        <v>0.108903511697928</v>
      </c>
      <c r="X12">
        <v>3.7039445402378433E-2</v>
      </c>
      <c r="Y12">
        <v>6.4830728338396607E-2</v>
      </c>
      <c r="Z12">
        <v>0.40694482935008758</v>
      </c>
      <c r="AA12">
        <v>8.3110424465409352E-2</v>
      </c>
      <c r="AB12">
        <v>0.18607898914787641</v>
      </c>
      <c r="AC12">
        <v>0.18616953461689029</v>
      </c>
      <c r="AD12">
        <v>6.1136062201037587E-2</v>
      </c>
      <c r="AE12">
        <v>0.1093635203394162</v>
      </c>
      <c r="AF12">
        <v>3.0528350175867689</v>
      </c>
      <c r="AG12">
        <v>5.856227536047319</v>
      </c>
      <c r="AH12">
        <v>5.6995514694917331</v>
      </c>
      <c r="AI12">
        <v>36</v>
      </c>
      <c r="AJ12">
        <v>19</v>
      </c>
      <c r="AK12">
        <v>55</v>
      </c>
      <c r="AL12">
        <v>0.34545454545454551</v>
      </c>
      <c r="AM12">
        <v>0.49170808074995659</v>
      </c>
      <c r="AN12">
        <v>0.46383947924502061</v>
      </c>
      <c r="AO12">
        <v>0.53082796184674885</v>
      </c>
      <c r="AP12">
        <v>0.45406990868726688</v>
      </c>
      <c r="AQ12">
        <v>0.40557924374852672</v>
      </c>
      <c r="AR12">
        <v>0.53338387177052149</v>
      </c>
      <c r="AS12">
        <v>0.3806367153328491</v>
      </c>
      <c r="AT12">
        <v>0.34117782394392232</v>
      </c>
      <c r="AU12">
        <v>0.41526600726772778</v>
      </c>
      <c r="AV12">
        <v>4.1885146088202797E-2</v>
      </c>
      <c r="AW12">
        <v>7.9394660743431017E-2</v>
      </c>
      <c r="AX12">
        <v>5.1778647819698508E-2</v>
      </c>
      <c r="AY12">
        <v>5.4221230185163317E-2</v>
      </c>
    </row>
    <row r="13" spans="1:51" x14ac:dyDescent="0.25">
      <c r="A13" t="s">
        <v>49</v>
      </c>
      <c r="B13">
        <v>1.0737247208168701</v>
      </c>
      <c r="C13">
        <v>1.8371643313371839E-2</v>
      </c>
      <c r="D13">
        <v>2.8661898044486489</v>
      </c>
      <c r="E13">
        <v>7.6086751181556513</v>
      </c>
      <c r="F13">
        <v>9.7622796622413137</v>
      </c>
      <c r="G13">
        <v>5.8952704795824014</v>
      </c>
      <c r="H13">
        <v>5.8160053663908506</v>
      </c>
      <c r="I13">
        <v>5.7081856774257842</v>
      </c>
      <c r="J13">
        <v>0.12052649521838921</v>
      </c>
      <c r="K13">
        <v>0.163935923292439</v>
      </c>
      <c r="L13">
        <v>0.1404795397126776</v>
      </c>
      <c r="M13">
        <v>0.27335223636640349</v>
      </c>
      <c r="N13">
        <v>0.51078957038487249</v>
      </c>
      <c r="O13">
        <v>0.32598049741790208</v>
      </c>
      <c r="P13">
        <v>0.21155367359881441</v>
      </c>
      <c r="Q13">
        <v>0.26291413666552099</v>
      </c>
      <c r="R13">
        <v>0.24824084419433479</v>
      </c>
      <c r="S13">
        <v>5.9356540557349726</v>
      </c>
      <c r="T13">
        <v>5.6604425967749972</v>
      </c>
      <c r="U13">
        <v>5.9356540557349726</v>
      </c>
      <c r="V13">
        <v>5.8574919596011439</v>
      </c>
      <c r="W13">
        <v>0.26370465487690731</v>
      </c>
      <c r="X13">
        <v>4.8572263777148468E-2</v>
      </c>
      <c r="Y13">
        <v>0.13291872260521889</v>
      </c>
      <c r="Z13">
        <v>0.68601969540415286</v>
      </c>
      <c r="AA13">
        <v>0.11511863067976399</v>
      </c>
      <c r="AB13">
        <v>0.32063038711816733</v>
      </c>
      <c r="AC13">
        <v>0.48055748077658411</v>
      </c>
      <c r="AD13">
        <v>0.1048257754095359</v>
      </c>
      <c r="AE13">
        <v>0.2307493961002659</v>
      </c>
      <c r="AF13">
        <v>5.9410230577631147</v>
      </c>
      <c r="AG13">
        <v>5.8963717794698631</v>
      </c>
      <c r="AH13">
        <v>5.7074022687288224</v>
      </c>
      <c r="AI13">
        <v>54</v>
      </c>
      <c r="AJ13">
        <v>8</v>
      </c>
      <c r="AK13">
        <v>62</v>
      </c>
      <c r="AL13">
        <v>0.1290322580645161</v>
      </c>
      <c r="AM13">
        <v>0.50148432398031506</v>
      </c>
      <c r="AN13">
        <v>0.42966763918355211</v>
      </c>
      <c r="AO13">
        <v>0.6090100648103578</v>
      </c>
      <c r="AP13">
        <v>0.45926563298017947</v>
      </c>
      <c r="AQ13">
        <v>0.40176656973828412</v>
      </c>
      <c r="AR13">
        <v>0.50303360986163004</v>
      </c>
      <c r="AS13">
        <v>0.39796521588551292</v>
      </c>
      <c r="AT13">
        <v>0.30344132688677899</v>
      </c>
      <c r="AU13">
        <v>0.48542498034211068</v>
      </c>
      <c r="AV13">
        <v>6.5721574816113765E-2</v>
      </c>
      <c r="AW13">
        <v>0.1229535764639085</v>
      </c>
      <c r="AX13">
        <v>0.1039479514570214</v>
      </c>
      <c r="AY13">
        <v>8.4234762399764559E-2</v>
      </c>
    </row>
    <row r="14" spans="1:51" x14ac:dyDescent="0.25">
      <c r="A14" t="s">
        <v>50</v>
      </c>
      <c r="B14">
        <v>3.113755169024905</v>
      </c>
      <c r="C14">
        <v>7.3624905597354989E-2</v>
      </c>
      <c r="D14">
        <v>3.7497296609175841</v>
      </c>
      <c r="E14">
        <v>2.659262325749391</v>
      </c>
      <c r="F14">
        <v>1.9524616914408459</v>
      </c>
      <c r="G14">
        <v>5.8447508243426487</v>
      </c>
      <c r="H14">
        <v>5.7735446769013681</v>
      </c>
      <c r="I14">
        <v>5.6990231333763672</v>
      </c>
      <c r="J14">
        <v>5.8828967025851948E-2</v>
      </c>
      <c r="K14">
        <v>5.8152647421967012E-2</v>
      </c>
      <c r="L14">
        <v>6.2001877081685343E-2</v>
      </c>
      <c r="M14">
        <v>0.13874885445085999</v>
      </c>
      <c r="N14">
        <v>0.19202722826051841</v>
      </c>
      <c r="O14">
        <v>0.19289618157222829</v>
      </c>
      <c r="P14">
        <v>0.1016027743835116</v>
      </c>
      <c r="Q14">
        <v>9.3777311601075289E-2</v>
      </c>
      <c r="R14">
        <v>9.3960967539863882E-2</v>
      </c>
      <c r="S14">
        <v>5.8976090577432236</v>
      </c>
      <c r="T14">
        <v>5.6690107870825992</v>
      </c>
      <c r="U14">
        <v>5.8976090577432236</v>
      </c>
      <c r="V14">
        <v>5.8129230070359998</v>
      </c>
      <c r="W14">
        <v>8.9311046093966118E-2</v>
      </c>
      <c r="X14">
        <v>3.656802802261308E-2</v>
      </c>
      <c r="Y14">
        <v>5.8954218577154258E-2</v>
      </c>
      <c r="Z14">
        <v>0.31094249898071058</v>
      </c>
      <c r="AA14">
        <v>0.1007497283619441</v>
      </c>
      <c r="AB14">
        <v>0.16927639694320859</v>
      </c>
      <c r="AC14">
        <v>0.13757638210582171</v>
      </c>
      <c r="AD14">
        <v>5.6083734751546779E-2</v>
      </c>
      <c r="AE14">
        <v>9.7050492257015147E-2</v>
      </c>
      <c r="AF14">
        <v>3.0203748630933802</v>
      </c>
      <c r="AG14">
        <v>5.8488446185924872</v>
      </c>
      <c r="AH14">
        <v>5.6927713999266798</v>
      </c>
      <c r="AI14">
        <v>29</v>
      </c>
      <c r="AJ14">
        <v>26</v>
      </c>
      <c r="AK14">
        <v>55</v>
      </c>
      <c r="AL14">
        <v>0.47272727272727272</v>
      </c>
      <c r="AM14">
        <v>0.48975231163693289</v>
      </c>
      <c r="AN14">
        <v>0.4589309196941882</v>
      </c>
      <c r="AO14">
        <v>0.52770775564577088</v>
      </c>
      <c r="AP14">
        <v>0.45014590425764073</v>
      </c>
      <c r="AQ14">
        <v>0.4041090652218241</v>
      </c>
      <c r="AR14">
        <v>0.51802336934999116</v>
      </c>
      <c r="AS14">
        <v>0.40333243171957323</v>
      </c>
      <c r="AT14">
        <v>0.35276893380154511</v>
      </c>
      <c r="AU14">
        <v>0.4359188088218619</v>
      </c>
      <c r="AV14">
        <v>3.9573553701514538E-2</v>
      </c>
      <c r="AW14">
        <v>5.5116299961529149E-2</v>
      </c>
      <c r="AX14">
        <v>5.1265444681300017E-2</v>
      </c>
      <c r="AY14">
        <v>4.7472704980858399E-2</v>
      </c>
    </row>
    <row r="15" spans="1:51" x14ac:dyDescent="0.25">
      <c r="A15" t="s">
        <v>51</v>
      </c>
      <c r="B15">
        <v>1.722943186974504</v>
      </c>
      <c r="C15">
        <v>3.082290554029295E-2</v>
      </c>
      <c r="D15">
        <v>6.4342280014710642</v>
      </c>
      <c r="E15">
        <v>4.4767666155795709</v>
      </c>
      <c r="F15">
        <v>8.2582910127276872</v>
      </c>
      <c r="G15">
        <v>5.8825425422888911</v>
      </c>
      <c r="H15">
        <v>5.7843485488187936</v>
      </c>
      <c r="I15">
        <v>5.6784677120917282</v>
      </c>
      <c r="J15">
        <v>0.1225051982583051</v>
      </c>
      <c r="K15">
        <v>0.13208615339587881</v>
      </c>
      <c r="L15">
        <v>0.13898396292059709</v>
      </c>
      <c r="M15">
        <v>0.27381247374531292</v>
      </c>
      <c r="N15">
        <v>0.43531758194999109</v>
      </c>
      <c r="O15">
        <v>0.31886393162481141</v>
      </c>
      <c r="P15">
        <v>0.2114645667743057</v>
      </c>
      <c r="Q15">
        <v>0.22596396764827251</v>
      </c>
      <c r="R15">
        <v>0.23402292895972751</v>
      </c>
      <c r="S15">
        <v>5.9557406667791621</v>
      </c>
      <c r="T15">
        <v>5.6214264807171892</v>
      </c>
      <c r="U15">
        <v>5.9557406667791621</v>
      </c>
      <c r="V15">
        <v>5.8121944973037332</v>
      </c>
      <c r="W15">
        <v>0.26537199261255873</v>
      </c>
      <c r="X15">
        <v>5.04905621615016E-2</v>
      </c>
      <c r="Y15">
        <v>0.12999733781487061</v>
      </c>
      <c r="Z15">
        <v>0.63571692165965188</v>
      </c>
      <c r="AA15">
        <v>0.1096133770776215</v>
      </c>
      <c r="AB15">
        <v>0.31864483044457231</v>
      </c>
      <c r="AC15">
        <v>0.43301509183831971</v>
      </c>
      <c r="AD15">
        <v>8.539796245520212E-2</v>
      </c>
      <c r="AE15">
        <v>0.22184813778476781</v>
      </c>
      <c r="AF15">
        <v>6.8825489591419302</v>
      </c>
      <c r="AG15">
        <v>5.8853245856412197</v>
      </c>
      <c r="AH15">
        <v>5.6766741735375543</v>
      </c>
      <c r="AI15">
        <v>49</v>
      </c>
      <c r="AJ15">
        <v>14</v>
      </c>
      <c r="AK15">
        <v>63</v>
      </c>
      <c r="AL15">
        <v>0.22222222222222221</v>
      </c>
      <c r="AM15">
        <v>0.51137158227526003</v>
      </c>
      <c r="AN15">
        <v>0.43483050385460892</v>
      </c>
      <c r="AO15">
        <v>0.57773311957768769</v>
      </c>
      <c r="AP15">
        <v>0.45061264057532252</v>
      </c>
      <c r="AQ15">
        <v>0.37657201737378709</v>
      </c>
      <c r="AR15">
        <v>0.50740582283886571</v>
      </c>
      <c r="AS15">
        <v>0.39577205439330648</v>
      </c>
      <c r="AT15">
        <v>0.32897382766344391</v>
      </c>
      <c r="AU15">
        <v>0.47477706308386158</v>
      </c>
      <c r="AV15">
        <v>7.2054194361136498E-2</v>
      </c>
      <c r="AW15">
        <v>0.14615104725708231</v>
      </c>
      <c r="AX15">
        <v>7.4536223936706045E-2</v>
      </c>
      <c r="AY15">
        <v>8.3618575248895322E-2</v>
      </c>
    </row>
    <row r="16" spans="1:51" x14ac:dyDescent="0.25">
      <c r="A16" t="s">
        <v>52</v>
      </c>
      <c r="B16">
        <v>2.5568794294477288</v>
      </c>
      <c r="C16">
        <v>5.0120894026350143E-2</v>
      </c>
      <c r="D16">
        <v>1.591849826865686</v>
      </c>
      <c r="E16">
        <v>2.091844378406567</v>
      </c>
      <c r="F16">
        <v>1.6674292061103151</v>
      </c>
      <c r="G16">
        <v>5.8834409720035108</v>
      </c>
      <c r="H16">
        <v>5.7919659104565273</v>
      </c>
      <c r="I16">
        <v>5.7090883591446859</v>
      </c>
      <c r="J16">
        <v>6.0924617062219903E-2</v>
      </c>
      <c r="K16">
        <v>6.1563736576381388E-2</v>
      </c>
      <c r="L16">
        <v>5.4040250591779658E-2</v>
      </c>
      <c r="M16">
        <v>0.14897699365234299</v>
      </c>
      <c r="N16">
        <v>0.24912014433813881</v>
      </c>
      <c r="O16">
        <v>0.14647123704562501</v>
      </c>
      <c r="P16">
        <v>0.1049369141334149</v>
      </c>
      <c r="Q16">
        <v>9.3363962696232108E-2</v>
      </c>
      <c r="R16">
        <v>9.2387707933507229E-2</v>
      </c>
      <c r="S16">
        <v>5.9150298724098054</v>
      </c>
      <c r="T16">
        <v>5.6933924543135781</v>
      </c>
      <c r="U16">
        <v>5.9150298724098054</v>
      </c>
      <c r="V16">
        <v>5.8557629379524396</v>
      </c>
      <c r="W16">
        <v>0.12715840541316911</v>
      </c>
      <c r="X16">
        <v>3.2378848420533568E-2</v>
      </c>
      <c r="Y16">
        <v>6.0108547294179797E-2</v>
      </c>
      <c r="Z16">
        <v>0.60031934000005771</v>
      </c>
      <c r="AA16">
        <v>8.223719496772347E-2</v>
      </c>
      <c r="AB16">
        <v>0.1825458607453761</v>
      </c>
      <c r="AC16">
        <v>0.15207659537597901</v>
      </c>
      <c r="AD16">
        <v>5.4786326193620768E-2</v>
      </c>
      <c r="AE16">
        <v>9.9413038839011272E-2</v>
      </c>
      <c r="AF16">
        <v>1.745939654141857</v>
      </c>
      <c r="AG16">
        <v>5.8864924563503518</v>
      </c>
      <c r="AH16">
        <v>5.6993102673183236</v>
      </c>
      <c r="AI16">
        <v>41</v>
      </c>
      <c r="AJ16">
        <v>20</v>
      </c>
      <c r="AK16">
        <v>61</v>
      </c>
      <c r="AL16">
        <v>0.32786885245901642</v>
      </c>
      <c r="AM16">
        <v>0.50071627577294719</v>
      </c>
      <c r="AN16">
        <v>0.45897174900961241</v>
      </c>
      <c r="AO16">
        <v>0.56947669970090897</v>
      </c>
      <c r="AP16">
        <v>0.43692824684454379</v>
      </c>
      <c r="AQ16">
        <v>0.367914860317968</v>
      </c>
      <c r="AR16">
        <v>0.51308708933929192</v>
      </c>
      <c r="AS16">
        <v>0.38021459670795399</v>
      </c>
      <c r="AT16">
        <v>0.35035342262433439</v>
      </c>
      <c r="AU16">
        <v>0.4084066899795547</v>
      </c>
      <c r="AV16">
        <v>4.9623527330809172E-2</v>
      </c>
      <c r="AW16">
        <v>7.549188305469387E-2</v>
      </c>
      <c r="AX16">
        <v>4.1381361958423749E-2</v>
      </c>
      <c r="AY16">
        <v>5.5749519735792827E-2</v>
      </c>
    </row>
    <row r="17" spans="1:51" x14ac:dyDescent="0.25">
      <c r="A17" t="s">
        <v>53</v>
      </c>
      <c r="B17">
        <v>1.717304232221408</v>
      </c>
      <c r="C17">
        <v>3.127844619924542E-2</v>
      </c>
      <c r="D17">
        <v>2.031216986716283</v>
      </c>
      <c r="E17">
        <v>1.9303866115557251</v>
      </c>
      <c r="F17">
        <v>1.3623347938691841</v>
      </c>
      <c r="G17">
        <v>5.8122188178278833</v>
      </c>
      <c r="H17">
        <v>5.7499811994224954</v>
      </c>
      <c r="I17">
        <v>5.6898523787699178</v>
      </c>
      <c r="J17">
        <v>8.9042654219250589E-2</v>
      </c>
      <c r="K17">
        <v>8.9477510091633849E-2</v>
      </c>
      <c r="L17">
        <v>7.6894226240217897E-2</v>
      </c>
      <c r="M17">
        <v>0.20907270401819661</v>
      </c>
      <c r="N17">
        <v>0.27693813998090411</v>
      </c>
      <c r="O17">
        <v>0.19136504135760851</v>
      </c>
      <c r="P17">
        <v>0.1552231059438757</v>
      </c>
      <c r="Q17">
        <v>0.14657391694934979</v>
      </c>
      <c r="R17">
        <v>0.13022819376071351</v>
      </c>
      <c r="S17">
        <v>5.8438844793597733</v>
      </c>
      <c r="T17">
        <v>5.667094976643865</v>
      </c>
      <c r="U17">
        <v>5.8438844793597733</v>
      </c>
      <c r="V17">
        <v>5.7742866195681648</v>
      </c>
      <c r="W17">
        <v>0.1219645017180475</v>
      </c>
      <c r="X17">
        <v>5.4487757749840653E-2</v>
      </c>
      <c r="Y17">
        <v>8.7227473560757246E-2</v>
      </c>
      <c r="Z17">
        <v>0.50035652005761033</v>
      </c>
      <c r="AA17">
        <v>0.1569751003938871</v>
      </c>
      <c r="AB17">
        <v>0.22362351063988761</v>
      </c>
      <c r="AC17">
        <v>0.1937944450611892</v>
      </c>
      <c r="AD17">
        <v>9.2494467582822606E-2</v>
      </c>
      <c r="AE17">
        <v>0.14948138013165899</v>
      </c>
      <c r="AF17">
        <v>1.8838582198407601</v>
      </c>
      <c r="AG17">
        <v>5.8135960182919613</v>
      </c>
      <c r="AH17">
        <v>5.686338118805951</v>
      </c>
      <c r="AI17">
        <v>48</v>
      </c>
      <c r="AJ17">
        <v>14</v>
      </c>
      <c r="AK17">
        <v>62</v>
      </c>
      <c r="AL17">
        <v>0.22580645161290319</v>
      </c>
      <c r="AM17">
        <v>0.54461794849821155</v>
      </c>
      <c r="AN17">
        <v>0.49036764007519512</v>
      </c>
      <c r="AO17">
        <v>0.58778390489746324</v>
      </c>
      <c r="AP17">
        <v>0.50808387512094244</v>
      </c>
      <c r="AQ17">
        <v>0.44336627110319871</v>
      </c>
      <c r="AR17">
        <v>0.58820192818351735</v>
      </c>
      <c r="AS17">
        <v>0.47863596454239832</v>
      </c>
      <c r="AT17">
        <v>0.45329230588161767</v>
      </c>
      <c r="AU17">
        <v>0.50760131698548439</v>
      </c>
      <c r="AV17">
        <v>6.5761127161689789E-2</v>
      </c>
      <c r="AW17">
        <v>0.10864049133172141</v>
      </c>
      <c r="AX17">
        <v>5.8744553799024678E-2</v>
      </c>
      <c r="AY17">
        <v>7.2927274988965507E-2</v>
      </c>
    </row>
    <row r="18" spans="1:51" x14ac:dyDescent="0.25">
      <c r="A18" t="s">
        <v>54</v>
      </c>
      <c r="B18">
        <v>3.2364898602905692</v>
      </c>
      <c r="C18">
        <v>6.9879145752677035E-2</v>
      </c>
      <c r="D18">
        <v>2.8755786157887062</v>
      </c>
      <c r="E18">
        <v>1.0415977746245311</v>
      </c>
      <c r="F18">
        <v>4.0837548004597819</v>
      </c>
      <c r="G18">
        <v>5.8729553962290719</v>
      </c>
      <c r="H18">
        <v>5.7925201559151134</v>
      </c>
      <c r="I18">
        <v>5.7077906654532109</v>
      </c>
      <c r="J18">
        <v>5.7368938301275298E-2</v>
      </c>
      <c r="K18">
        <v>5.5458481733445683E-2</v>
      </c>
      <c r="L18">
        <v>6.1153484311485887E-2</v>
      </c>
      <c r="M18">
        <v>0.14272820620346199</v>
      </c>
      <c r="N18">
        <v>0.21217926963836439</v>
      </c>
      <c r="O18">
        <v>0.15534064765248731</v>
      </c>
      <c r="P18">
        <v>9.5945274220004859E-2</v>
      </c>
      <c r="Q18">
        <v>8.6877605529795537E-2</v>
      </c>
      <c r="R18">
        <v>8.9808382797163258E-2</v>
      </c>
      <c r="S18">
        <v>5.9136843709337468</v>
      </c>
      <c r="T18">
        <v>5.684076744377994</v>
      </c>
      <c r="U18">
        <v>5.9136843709337468</v>
      </c>
      <c r="V18">
        <v>5.8380902370080268</v>
      </c>
      <c r="W18">
        <v>0.12900468544474189</v>
      </c>
      <c r="X18">
        <v>3.7579155619191042E-2</v>
      </c>
      <c r="Y18">
        <v>5.7411003744502323E-2</v>
      </c>
      <c r="Z18">
        <v>0.33149964719346248</v>
      </c>
      <c r="AA18">
        <v>8.4470845610781567E-2</v>
      </c>
      <c r="AB18">
        <v>0.17309974190460259</v>
      </c>
      <c r="AC18">
        <v>0.15555696345452491</v>
      </c>
      <c r="AD18">
        <v>5.2379891204365647E-2</v>
      </c>
      <c r="AE18">
        <v>9.1154702745677177E-2</v>
      </c>
      <c r="AF18">
        <v>2.5692019576796352</v>
      </c>
      <c r="AG18">
        <v>5.8774044440525834</v>
      </c>
      <c r="AH18">
        <v>5.7016761884318026</v>
      </c>
      <c r="AI18">
        <v>33</v>
      </c>
      <c r="AJ18">
        <v>26</v>
      </c>
      <c r="AK18">
        <v>59</v>
      </c>
      <c r="AL18">
        <v>0.44067796610169491</v>
      </c>
      <c r="AM18">
        <v>0.49210828557776592</v>
      </c>
      <c r="AN18">
        <v>0.45454169563202113</v>
      </c>
      <c r="AO18">
        <v>0.53311557639179175</v>
      </c>
      <c r="AP18">
        <v>0.44905496190113442</v>
      </c>
      <c r="AQ18">
        <v>0.39852828837180021</v>
      </c>
      <c r="AR18">
        <v>0.49713902388330872</v>
      </c>
      <c r="AS18">
        <v>0.38482154901465532</v>
      </c>
      <c r="AT18">
        <v>0.32087384661194529</v>
      </c>
      <c r="AU18">
        <v>0.43179618162484562</v>
      </c>
      <c r="AV18">
        <v>4.0241599472767092E-2</v>
      </c>
      <c r="AW18">
        <v>5.6469167093526458E-2</v>
      </c>
      <c r="AX18">
        <v>6.4767273515075968E-2</v>
      </c>
      <c r="AY18">
        <v>5.0914597699447853E-2</v>
      </c>
    </row>
    <row r="19" spans="1:51" x14ac:dyDescent="0.25">
      <c r="AL19" s="1"/>
    </row>
    <row r="20" spans="1:51" x14ac:dyDescent="0.25">
      <c r="A20" t="s">
        <v>62</v>
      </c>
      <c r="B20">
        <f>AVERAGE(B2:B18)</f>
        <v>2.2345936226121026</v>
      </c>
      <c r="C20">
        <f t="shared" ref="C20:AL20" si="0">AVERAGE(C2:C18)</f>
        <v>4.5164699078218559E-2</v>
      </c>
      <c r="D20">
        <f t="shared" si="0"/>
        <v>2.5260617496070283</v>
      </c>
      <c r="E20">
        <f t="shared" si="0"/>
        <v>2.5107170439320052</v>
      </c>
      <c r="F20">
        <f t="shared" si="0"/>
        <v>2.8276099947651083</v>
      </c>
      <c r="G20">
        <f t="shared" si="0"/>
        <v>5.8390103340693811</v>
      </c>
      <c r="H20">
        <f t="shared" si="0"/>
        <v>5.7708068776780639</v>
      </c>
      <c r="I20">
        <f t="shared" si="0"/>
        <v>5.7003876745982316</v>
      </c>
      <c r="J20">
        <f t="shared" si="0"/>
        <v>7.4720010034865794E-2</v>
      </c>
      <c r="K20">
        <f t="shared" si="0"/>
        <v>7.9761132736088342E-2</v>
      </c>
      <c r="L20">
        <f t="shared" si="0"/>
        <v>8.0893753348635064E-2</v>
      </c>
      <c r="M20">
        <f t="shared" si="0"/>
        <v>0.17561254278886407</v>
      </c>
      <c r="N20">
        <f t="shared" si="0"/>
        <v>0.27408951397051928</v>
      </c>
      <c r="O20">
        <f t="shared" si="0"/>
        <v>0.20032842158030523</v>
      </c>
      <c r="P20">
        <f t="shared" si="0"/>
        <v>0.12880140295280054</v>
      </c>
      <c r="Q20">
        <f t="shared" si="0"/>
        <v>0.12954953633895569</v>
      </c>
      <c r="R20">
        <f t="shared" si="0"/>
        <v>0.13570384425583409</v>
      </c>
      <c r="S20">
        <f t="shared" si="0"/>
        <v>5.8751752206817125</v>
      </c>
      <c r="T20">
        <f t="shared" si="0"/>
        <v>5.6747819266778414</v>
      </c>
      <c r="U20">
        <f t="shared" si="0"/>
        <v>5.8751752206817125</v>
      </c>
      <c r="V20">
        <f t="shared" si="0"/>
        <v>5.8024578008654055</v>
      </c>
      <c r="W20">
        <f t="shared" si="0"/>
        <v>0.15935735228831432</v>
      </c>
      <c r="X20">
        <f t="shared" si="0"/>
        <v>4.2660983213798687E-2</v>
      </c>
      <c r="Y20">
        <f t="shared" si="0"/>
        <v>7.7186730534269762E-2</v>
      </c>
      <c r="Z20">
        <f t="shared" si="0"/>
        <v>0.48578141374612105</v>
      </c>
      <c r="AA20">
        <f t="shared" si="0"/>
        <v>0.10633066783986023</v>
      </c>
      <c r="AB20">
        <f t="shared" si="0"/>
        <v>0.20364163190462228</v>
      </c>
      <c r="AC20">
        <f t="shared" si="0"/>
        <v>0.23948228487887835</v>
      </c>
      <c r="AD20">
        <f t="shared" si="0"/>
        <v>7.43341369941075E-2</v>
      </c>
      <c r="AE20">
        <f t="shared" si="0"/>
        <v>0.13047660455323418</v>
      </c>
      <c r="AF20">
        <f t="shared" si="0"/>
        <v>2.6405616485637218</v>
      </c>
      <c r="AG20">
        <f t="shared" si="0"/>
        <v>5.8412254916576831</v>
      </c>
      <c r="AH20">
        <f t="shared" si="0"/>
        <v>5.6959643695232876</v>
      </c>
      <c r="AI20">
        <f t="shared" si="0"/>
        <v>43.235294117647058</v>
      </c>
      <c r="AJ20">
        <f t="shared" si="0"/>
        <v>17.705882352941178</v>
      </c>
      <c r="AK20">
        <f t="shared" si="0"/>
        <v>60.941176470588232</v>
      </c>
      <c r="AL20">
        <f t="shared" ref="AL20:AY20" si="1">AVERAGE(AL2:AL18)</f>
        <v>0.29707714415959813</v>
      </c>
      <c r="AM20">
        <f t="shared" si="1"/>
        <v>0.50304432140570154</v>
      </c>
      <c r="AN20">
        <f t="shared" si="1"/>
        <v>0.45689086585412747</v>
      </c>
      <c r="AO20">
        <f t="shared" si="1"/>
        <v>0.5511268790807069</v>
      </c>
      <c r="AP20">
        <f t="shared" si="1"/>
        <v>0.46230159021955514</v>
      </c>
      <c r="AQ20">
        <f t="shared" si="1"/>
        <v>0.4065864253886286</v>
      </c>
      <c r="AR20">
        <f t="shared" si="1"/>
        <v>0.51603499722922008</v>
      </c>
      <c r="AS20">
        <f t="shared" si="1"/>
        <v>0.41444723590037713</v>
      </c>
      <c r="AT20">
        <f t="shared" si="1"/>
        <v>0.37266655593093084</v>
      </c>
      <c r="AU20">
        <f t="shared" si="1"/>
        <v>0.45733743791554898</v>
      </c>
      <c r="AV20">
        <f t="shared" si="1"/>
        <v>5.2555074297076836E-2</v>
      </c>
      <c r="AW20">
        <f t="shared" si="1"/>
        <v>8.6518149166270264E-2</v>
      </c>
      <c r="AX20">
        <f t="shared" si="1"/>
        <v>6.3329814107894969E-2</v>
      </c>
      <c r="AY20">
        <f t="shared" si="1"/>
        <v>6.1134306687783635E-2</v>
      </c>
    </row>
    <row r="21" spans="1:51" x14ac:dyDescent="0.25">
      <c r="A21" t="s">
        <v>63</v>
      </c>
      <c r="B21">
        <f t="shared" ref="B21:AL21" si="2">_xlfn.STDEV.S(B2:B18)</f>
        <v>0.74028960522504217</v>
      </c>
      <c r="C21">
        <f t="shared" si="2"/>
        <v>2.0538171206507007E-2</v>
      </c>
      <c r="D21">
        <f t="shared" si="2"/>
        <v>1.2904867921759167</v>
      </c>
      <c r="E21">
        <f t="shared" si="2"/>
        <v>1.8231550390746989</v>
      </c>
      <c r="F21">
        <f t="shared" si="2"/>
        <v>2.6668193214344535</v>
      </c>
      <c r="G21">
        <f t="shared" si="2"/>
        <v>4.050027935070321E-2</v>
      </c>
      <c r="H21">
        <f t="shared" si="2"/>
        <v>2.3714755932760033E-2</v>
      </c>
      <c r="I21">
        <f t="shared" si="2"/>
        <v>1.1013016315605686E-2</v>
      </c>
      <c r="J21">
        <f t="shared" si="2"/>
        <v>2.2780298437391867E-2</v>
      </c>
      <c r="K21">
        <f t="shared" si="2"/>
        <v>3.0439950117820042E-2</v>
      </c>
      <c r="L21">
        <f t="shared" si="2"/>
        <v>3.1313839405079043E-2</v>
      </c>
      <c r="M21">
        <f t="shared" si="2"/>
        <v>4.7728338933426692E-2</v>
      </c>
      <c r="N21">
        <f t="shared" si="2"/>
        <v>9.4666344011222064E-2</v>
      </c>
      <c r="O21">
        <f t="shared" si="2"/>
        <v>6.6098541342397912E-2</v>
      </c>
      <c r="P21">
        <f t="shared" si="2"/>
        <v>4.028233024615268E-2</v>
      </c>
      <c r="Q21">
        <f t="shared" si="2"/>
        <v>5.3083798442426201E-2</v>
      </c>
      <c r="R21">
        <f t="shared" si="2"/>
        <v>5.5462911495052419E-2</v>
      </c>
      <c r="S21">
        <f t="shared" si="2"/>
        <v>4.8840556315749399E-2</v>
      </c>
      <c r="T21">
        <f t="shared" si="2"/>
        <v>1.8401197421520587E-2</v>
      </c>
      <c r="U21">
        <f t="shared" si="2"/>
        <v>4.8840556315749399E-2</v>
      </c>
      <c r="V21">
        <f t="shared" si="2"/>
        <v>3.7635399628908023E-2</v>
      </c>
      <c r="W21">
        <f t="shared" si="2"/>
        <v>8.0654163052807454E-2</v>
      </c>
      <c r="X21">
        <f t="shared" si="2"/>
        <v>1.0637332236611704E-2</v>
      </c>
      <c r="Y21">
        <f t="shared" si="2"/>
        <v>2.5846841622618615E-2</v>
      </c>
      <c r="Z21">
        <f t="shared" si="2"/>
        <v>0.16440684906327105</v>
      </c>
      <c r="AA21">
        <f t="shared" si="2"/>
        <v>2.5927411877837168E-2</v>
      </c>
      <c r="AB21">
        <f t="shared" si="2"/>
        <v>5.3531556247296663E-2</v>
      </c>
      <c r="AC21">
        <f t="shared" si="2"/>
        <v>0.14394152789801551</v>
      </c>
      <c r="AD21">
        <f t="shared" si="2"/>
        <v>2.046348708618987E-2</v>
      </c>
      <c r="AE21">
        <f t="shared" si="2"/>
        <v>4.6037973042340134E-2</v>
      </c>
      <c r="AF21">
        <f t="shared" si="2"/>
        <v>1.6087175887481597</v>
      </c>
      <c r="AG21">
        <f t="shared" si="2"/>
        <v>4.0547650413974422E-2</v>
      </c>
      <c r="AH21">
        <f t="shared" si="2"/>
        <v>1.0852446088199545E-2</v>
      </c>
      <c r="AI21">
        <f t="shared" si="2"/>
        <v>10.139831185507393</v>
      </c>
      <c r="AJ21">
        <f t="shared" si="2"/>
        <v>5.8284293111690175</v>
      </c>
      <c r="AK21">
        <f t="shared" si="2"/>
        <v>6.8050586720036232</v>
      </c>
      <c r="AL21">
        <f t="shared" ref="AL21:AY21" si="3">_xlfn.STDEV.S(AL2:AL18)</f>
        <v>0.11318099872719428</v>
      </c>
      <c r="AM21">
        <f t="shared" si="3"/>
        <v>3.1520887244991622E-2</v>
      </c>
      <c r="AN21">
        <f t="shared" si="3"/>
        <v>2.9567505863802745E-2</v>
      </c>
      <c r="AO21">
        <f t="shared" si="3"/>
        <v>4.1240391446217689E-2</v>
      </c>
      <c r="AP21">
        <f t="shared" si="3"/>
        <v>2.9315476497231093E-2</v>
      </c>
      <c r="AQ21">
        <f t="shared" si="3"/>
        <v>2.719356198584337E-2</v>
      </c>
      <c r="AR21">
        <f>_xlfn.STDEV.S(AR2:AR18)</f>
        <v>3.4315117090416875E-2</v>
      </c>
      <c r="AS21">
        <f t="shared" si="3"/>
        <v>3.2157395546207272E-2</v>
      </c>
      <c r="AT21">
        <f t="shared" si="3"/>
        <v>3.9099886015452348E-2</v>
      </c>
      <c r="AU21">
        <f t="shared" si="3"/>
        <v>3.7622244517844738E-2</v>
      </c>
      <c r="AV21">
        <f t="shared" si="3"/>
        <v>1.4848148991456285E-2</v>
      </c>
      <c r="AW21">
        <f t="shared" si="3"/>
        <v>3.4467108275714475E-2</v>
      </c>
      <c r="AX21">
        <f t="shared" si="3"/>
        <v>1.9658383868183884E-2</v>
      </c>
      <c r="AY21">
        <f t="shared" si="3"/>
        <v>1.4270208954127679E-2</v>
      </c>
    </row>
    <row r="22" spans="1:51" x14ac:dyDescent="0.25">
      <c r="A22" t="s">
        <v>64</v>
      </c>
      <c r="B22">
        <f t="shared" ref="B22:AL22" si="4">MIN(B2:B18)</f>
        <v>1.0737247208168701</v>
      </c>
      <c r="C22">
        <f t="shared" si="4"/>
        <v>1.8371643313371839E-2</v>
      </c>
      <c r="D22">
        <f t="shared" si="4"/>
        <v>0.81449923906833366</v>
      </c>
      <c r="E22">
        <f t="shared" si="4"/>
        <v>0.4066598074666925</v>
      </c>
      <c r="F22">
        <f t="shared" si="4"/>
        <v>9.5168431682985596E-2</v>
      </c>
      <c r="G22">
        <f t="shared" si="4"/>
        <v>5.7490461909517281</v>
      </c>
      <c r="H22">
        <f t="shared" si="4"/>
        <v>5.727095827675492</v>
      </c>
      <c r="I22">
        <f t="shared" si="4"/>
        <v>5.6784677120917282</v>
      </c>
      <c r="J22">
        <f t="shared" si="4"/>
        <v>5.2845958885145421E-2</v>
      </c>
      <c r="K22">
        <f t="shared" si="4"/>
        <v>5.2047148728046083E-2</v>
      </c>
      <c r="L22">
        <f t="shared" si="4"/>
        <v>4.8952010673596232E-2</v>
      </c>
      <c r="M22">
        <f t="shared" si="4"/>
        <v>0.12633277649183511</v>
      </c>
      <c r="N22">
        <f t="shared" si="4"/>
        <v>0.13593342338665429</v>
      </c>
      <c r="O22">
        <f t="shared" si="4"/>
        <v>0.1181190337397654</v>
      </c>
      <c r="P22">
        <f t="shared" si="4"/>
        <v>9.0806895607867505E-2</v>
      </c>
      <c r="Q22">
        <f t="shared" si="4"/>
        <v>8.6877605529795537E-2</v>
      </c>
      <c r="R22">
        <f t="shared" si="4"/>
        <v>7.4738311381519817E-2</v>
      </c>
      <c r="S22">
        <f t="shared" si="4"/>
        <v>5.7740402605640551</v>
      </c>
      <c r="T22">
        <f t="shared" si="4"/>
        <v>5.6214264807171892</v>
      </c>
      <c r="U22">
        <f t="shared" si="4"/>
        <v>5.7740402605640551</v>
      </c>
      <c r="V22">
        <f t="shared" si="4"/>
        <v>5.7219336906500473</v>
      </c>
      <c r="W22">
        <f t="shared" si="4"/>
        <v>7.5825147507726301E-2</v>
      </c>
      <c r="X22">
        <f t="shared" si="4"/>
        <v>2.602297908322803E-2</v>
      </c>
      <c r="Y22">
        <f t="shared" si="4"/>
        <v>5.245055398152168E-2</v>
      </c>
      <c r="Z22">
        <f t="shared" si="4"/>
        <v>0.18951232151270009</v>
      </c>
      <c r="AA22">
        <f t="shared" si="4"/>
        <v>8.223719496772347E-2</v>
      </c>
      <c r="AB22">
        <f t="shared" si="4"/>
        <v>0.1296789820332046</v>
      </c>
      <c r="AC22">
        <f t="shared" si="4"/>
        <v>0.1194305792776396</v>
      </c>
      <c r="AD22">
        <f t="shared" si="4"/>
        <v>4.8887228260895442E-2</v>
      </c>
      <c r="AE22">
        <f t="shared" si="4"/>
        <v>8.9780307414056862E-2</v>
      </c>
      <c r="AF22">
        <f t="shared" si="4"/>
        <v>0.70900413129384954</v>
      </c>
      <c r="AG22">
        <f t="shared" si="4"/>
        <v>5.7505824697138062</v>
      </c>
      <c r="AH22">
        <f t="shared" si="4"/>
        <v>5.6766741735375543</v>
      </c>
      <c r="AI22">
        <f t="shared" si="4"/>
        <v>28</v>
      </c>
      <c r="AJ22">
        <f t="shared" si="4"/>
        <v>8</v>
      </c>
      <c r="AK22">
        <f t="shared" si="4"/>
        <v>46</v>
      </c>
      <c r="AL22">
        <f t="shared" ref="AL22:AY22" si="5">MIN(AL2:AL18)</f>
        <v>0.1290322580645161</v>
      </c>
      <c r="AM22">
        <f t="shared" si="5"/>
        <v>0.42589247915880202</v>
      </c>
      <c r="AN22">
        <f t="shared" si="5"/>
        <v>0.39571705713043598</v>
      </c>
      <c r="AO22">
        <f t="shared" si="5"/>
        <v>0.44751148093927029</v>
      </c>
      <c r="AP22">
        <f t="shared" si="5"/>
        <v>0.40771015319253229</v>
      </c>
      <c r="AQ22">
        <f t="shared" si="5"/>
        <v>0.36139700013560427</v>
      </c>
      <c r="AR22">
        <f t="shared" si="5"/>
        <v>0.43156787565547022</v>
      </c>
      <c r="AS22">
        <f t="shared" si="5"/>
        <v>0.38021459670795399</v>
      </c>
      <c r="AT22">
        <f t="shared" si="5"/>
        <v>0.30344132688677899</v>
      </c>
      <c r="AU22">
        <f t="shared" si="5"/>
        <v>0.4084066899795547</v>
      </c>
      <c r="AV22">
        <f t="shared" si="5"/>
        <v>3.8804702181854688E-2</v>
      </c>
      <c r="AW22">
        <f t="shared" si="5"/>
        <v>2.8752625056788279E-2</v>
      </c>
      <c r="AX22">
        <f t="shared" si="5"/>
        <v>2.168700054826652E-2</v>
      </c>
      <c r="AY22">
        <f t="shared" si="5"/>
        <v>3.2822779231212969E-2</v>
      </c>
    </row>
    <row r="23" spans="1:51" x14ac:dyDescent="0.25">
      <c r="A23" t="s">
        <v>65</v>
      </c>
      <c r="B23">
        <f t="shared" ref="B23:AL23" si="6">MAX(B2:B18)</f>
        <v>3.833133151769692</v>
      </c>
      <c r="C23">
        <f t="shared" si="6"/>
        <v>8.8567481758396654E-2</v>
      </c>
      <c r="D23">
        <f t="shared" si="6"/>
        <v>6.4342280014710642</v>
      </c>
      <c r="E23">
        <f t="shared" si="6"/>
        <v>7.6086751181556513</v>
      </c>
      <c r="F23">
        <f t="shared" si="6"/>
        <v>9.7622796622413137</v>
      </c>
      <c r="G23">
        <f t="shared" si="6"/>
        <v>5.8952704795824014</v>
      </c>
      <c r="H23">
        <f t="shared" si="6"/>
        <v>5.8160053663908506</v>
      </c>
      <c r="I23">
        <f t="shared" si="6"/>
        <v>5.7276765012762754</v>
      </c>
      <c r="J23">
        <f t="shared" si="6"/>
        <v>0.1225051982583051</v>
      </c>
      <c r="K23">
        <f t="shared" si="6"/>
        <v>0.163935923292439</v>
      </c>
      <c r="L23">
        <f t="shared" si="6"/>
        <v>0.1406472768324715</v>
      </c>
      <c r="M23">
        <f t="shared" si="6"/>
        <v>0.27381247374531292</v>
      </c>
      <c r="N23">
        <f t="shared" si="6"/>
        <v>0.51078957038487249</v>
      </c>
      <c r="O23">
        <f t="shared" si="6"/>
        <v>0.32598049741790208</v>
      </c>
      <c r="P23">
        <f t="shared" si="6"/>
        <v>0.21155367359881441</v>
      </c>
      <c r="Q23">
        <f t="shared" si="6"/>
        <v>0.26291413666552099</v>
      </c>
      <c r="R23">
        <f t="shared" si="6"/>
        <v>0.24824084419433479</v>
      </c>
      <c r="S23">
        <f t="shared" si="6"/>
        <v>5.9557406667791621</v>
      </c>
      <c r="T23">
        <f t="shared" si="6"/>
        <v>5.706688555220083</v>
      </c>
      <c r="U23">
        <f t="shared" si="6"/>
        <v>5.9557406667791621</v>
      </c>
      <c r="V23">
        <f t="shared" si="6"/>
        <v>5.8574919596011439</v>
      </c>
      <c r="W23">
        <f t="shared" si="6"/>
        <v>0.38748128527006792</v>
      </c>
      <c r="X23">
        <f t="shared" si="6"/>
        <v>6.8126700263220055E-2</v>
      </c>
      <c r="Y23">
        <f t="shared" si="6"/>
        <v>0.13291872260521889</v>
      </c>
      <c r="Z23">
        <f t="shared" si="6"/>
        <v>0.79943986917981713</v>
      </c>
      <c r="AA23">
        <f t="shared" si="6"/>
        <v>0.1569751003938871</v>
      </c>
      <c r="AB23">
        <f t="shared" si="6"/>
        <v>0.32063038711816733</v>
      </c>
      <c r="AC23">
        <f t="shared" si="6"/>
        <v>0.63534509879321754</v>
      </c>
      <c r="AD23">
        <f t="shared" si="6"/>
        <v>0.1150854639244229</v>
      </c>
      <c r="AE23">
        <f t="shared" si="6"/>
        <v>0.2307493961002659</v>
      </c>
      <c r="AF23">
        <f t="shared" si="6"/>
        <v>6.8825489591419302</v>
      </c>
      <c r="AG23">
        <f t="shared" si="6"/>
        <v>5.8963717794698631</v>
      </c>
      <c r="AH23">
        <f t="shared" si="6"/>
        <v>5.7230456632539424</v>
      </c>
      <c r="AI23">
        <f t="shared" si="6"/>
        <v>56</v>
      </c>
      <c r="AJ23">
        <f t="shared" si="6"/>
        <v>29</v>
      </c>
      <c r="AK23">
        <f t="shared" si="6"/>
        <v>74</v>
      </c>
      <c r="AL23">
        <f t="shared" ref="AL23:AY23" si="7">MAX(AL2:AL18)</f>
        <v>0.50877192982456143</v>
      </c>
      <c r="AM23">
        <f t="shared" si="7"/>
        <v>0.54461794849821155</v>
      </c>
      <c r="AN23">
        <f t="shared" si="7"/>
        <v>0.51221368823663327</v>
      </c>
      <c r="AO23">
        <f t="shared" si="7"/>
        <v>0.6090100648103578</v>
      </c>
      <c r="AP23">
        <f t="shared" si="7"/>
        <v>0.51230013589217205</v>
      </c>
      <c r="AQ23">
        <f t="shared" si="7"/>
        <v>0.46459789285064051</v>
      </c>
      <c r="AR23">
        <f t="shared" si="7"/>
        <v>0.58820192818351735</v>
      </c>
      <c r="AS23">
        <f t="shared" si="7"/>
        <v>0.48301542661593899</v>
      </c>
      <c r="AT23">
        <f t="shared" si="7"/>
        <v>0.45329230588161767</v>
      </c>
      <c r="AU23">
        <f t="shared" si="7"/>
        <v>0.53880111759210603</v>
      </c>
      <c r="AV23">
        <f t="shared" si="7"/>
        <v>9.4459554811678378E-2</v>
      </c>
      <c r="AW23">
        <f t="shared" si="7"/>
        <v>0.14768404332551341</v>
      </c>
      <c r="AX23">
        <f t="shared" si="7"/>
        <v>0.1039479514570214</v>
      </c>
      <c r="AY23">
        <f t="shared" si="7"/>
        <v>8.5675307438353429E-2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3823-6F0A-4ABC-8706-489EA0FC337F}">
  <dimension ref="A1:AY13"/>
  <sheetViews>
    <sheetView topLeftCell="AF1" workbookViewId="0">
      <selection activeCell="AM10" sqref="AM10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</row>
    <row r="2" spans="1:51" x14ac:dyDescent="0.25">
      <c r="A2" t="s">
        <v>55</v>
      </c>
      <c r="B2">
        <v>3.2626486370367398</v>
      </c>
      <c r="C2">
        <v>8.5822993021610186E-2</v>
      </c>
      <c r="D2">
        <v>4.7516907585929289</v>
      </c>
      <c r="E2">
        <v>3.870970715678673</v>
      </c>
      <c r="F2">
        <v>3.550636767831429</v>
      </c>
      <c r="G2">
        <v>5.8245480930906659</v>
      </c>
      <c r="H2">
        <v>5.7573733082467804</v>
      </c>
      <c r="I2">
        <v>5.6864483295529142</v>
      </c>
      <c r="J2">
        <v>0.13206295024151021</v>
      </c>
      <c r="K2">
        <v>0.12524920023685679</v>
      </c>
      <c r="L2">
        <v>0.1197271173505723</v>
      </c>
      <c r="M2">
        <v>0.28475759803216899</v>
      </c>
      <c r="N2">
        <v>0.31993452894564328</v>
      </c>
      <c r="O2">
        <v>0.25212560817812979</v>
      </c>
      <c r="P2">
        <v>0.23432274836040659</v>
      </c>
      <c r="Q2">
        <v>0.2145893555469548</v>
      </c>
      <c r="R2">
        <v>0.20987149957320769</v>
      </c>
      <c r="S2">
        <v>5.8724720131442876</v>
      </c>
      <c r="T2">
        <v>5.6487456916236916</v>
      </c>
      <c r="U2">
        <v>5.8724720131442876</v>
      </c>
      <c r="V2">
        <v>5.783296822707908</v>
      </c>
      <c r="W2">
        <v>0.25178930817750489</v>
      </c>
      <c r="X2">
        <v>4.4605918455228523E-2</v>
      </c>
      <c r="Y2">
        <v>0.12614692653743101</v>
      </c>
      <c r="Z2">
        <v>0.72401314387334048</v>
      </c>
      <c r="AA2">
        <v>0.13330447085225411</v>
      </c>
      <c r="AB2">
        <v>0.29368983787467168</v>
      </c>
      <c r="AC2">
        <v>0.39505934153867811</v>
      </c>
      <c r="AD2">
        <v>8.2283917417530869E-2</v>
      </c>
      <c r="AE2">
        <v>0.22007315756332341</v>
      </c>
      <c r="AF2">
        <v>4.1049767097675716</v>
      </c>
      <c r="AG2">
        <v>5.8308653862081563</v>
      </c>
      <c r="AH2">
        <v>5.6808497713994486</v>
      </c>
      <c r="AI2">
        <v>25</v>
      </c>
      <c r="AJ2">
        <v>26</v>
      </c>
      <c r="AK2">
        <v>51</v>
      </c>
      <c r="AL2">
        <v>0.50980392156862742</v>
      </c>
      <c r="AM2">
        <v>0.49060929568715561</v>
      </c>
      <c r="AN2">
        <v>0.42918653001123142</v>
      </c>
      <c r="AO2">
        <v>0.63594518589373383</v>
      </c>
      <c r="AP2">
        <v>0.44065392907653678</v>
      </c>
      <c r="AQ2">
        <v>0.32722420099631189</v>
      </c>
      <c r="AR2">
        <v>0.52241961358463129</v>
      </c>
      <c r="AS2">
        <v>0.40460526564939669</v>
      </c>
      <c r="AT2">
        <v>0.33805958427035698</v>
      </c>
      <c r="AU2">
        <v>0.48760719941683339</v>
      </c>
      <c r="AV2">
        <v>0.1221259328546377</v>
      </c>
      <c r="AW2">
        <v>0.11970004686934969</v>
      </c>
      <c r="AX2">
        <v>7.9849339432703309E-2</v>
      </c>
      <c r="AY2">
        <v>0.11108864135660131</v>
      </c>
    </row>
    <row r="3" spans="1:51" x14ac:dyDescent="0.25">
      <c r="A3" t="s">
        <v>56</v>
      </c>
      <c r="B3">
        <v>2.5652353027574462</v>
      </c>
      <c r="C3">
        <v>7.1177633926059719E-2</v>
      </c>
      <c r="D3">
        <v>5.3378316515634818</v>
      </c>
      <c r="E3">
        <v>7.4566323857691854</v>
      </c>
      <c r="F3">
        <v>5.0354299250948014</v>
      </c>
      <c r="G3">
        <v>5.8011307113961701</v>
      </c>
      <c r="H3">
        <v>5.7412707778970073</v>
      </c>
      <c r="I3">
        <v>5.6840802561069026</v>
      </c>
      <c r="J3">
        <v>0.10726010933758991</v>
      </c>
      <c r="K3">
        <v>0.1226036093413882</v>
      </c>
      <c r="L3">
        <v>0.1051514417274821</v>
      </c>
      <c r="M3">
        <v>0.2467880248456632</v>
      </c>
      <c r="N3">
        <v>0.30929228644273349</v>
      </c>
      <c r="O3">
        <v>0.2403891283650435</v>
      </c>
      <c r="P3">
        <v>0.18667727533381229</v>
      </c>
      <c r="Q3">
        <v>0.2062907780140053</v>
      </c>
      <c r="R3">
        <v>0.1772303746282537</v>
      </c>
      <c r="S3">
        <v>5.8495114143983189</v>
      </c>
      <c r="T3">
        <v>5.6315315812575761</v>
      </c>
      <c r="U3">
        <v>5.8495114143983189</v>
      </c>
      <c r="V3">
        <v>5.7506535237127947</v>
      </c>
      <c r="W3">
        <v>0.27857050525258398</v>
      </c>
      <c r="X3">
        <v>4.1336773792452229E-2</v>
      </c>
      <c r="Y3">
        <v>0.11185801380428689</v>
      </c>
      <c r="Z3">
        <v>0.78575372353497552</v>
      </c>
      <c r="AA3">
        <v>8.9584960978425929E-2</v>
      </c>
      <c r="AB3">
        <v>0.26736299865458729</v>
      </c>
      <c r="AC3">
        <v>0.48713770825003</v>
      </c>
      <c r="AD3">
        <v>6.8638743402838209E-2</v>
      </c>
      <c r="AE3">
        <v>0.19062421952957889</v>
      </c>
      <c r="AF3">
        <v>5.8324919967509246</v>
      </c>
      <c r="AG3">
        <v>5.8039760577582422</v>
      </c>
      <c r="AH3">
        <v>5.6802869756993957</v>
      </c>
      <c r="AI3">
        <v>26</v>
      </c>
      <c r="AJ3">
        <v>20</v>
      </c>
      <c r="AK3">
        <v>46</v>
      </c>
      <c r="AL3">
        <v>0.43478260869565222</v>
      </c>
      <c r="AM3">
        <v>0.48216872198604582</v>
      </c>
      <c r="AN3">
        <v>0.41567453396169041</v>
      </c>
      <c r="AO3">
        <v>0.55202186419176114</v>
      </c>
      <c r="AP3">
        <v>0.44896891145040052</v>
      </c>
      <c r="AQ3">
        <v>0.36145471767096399</v>
      </c>
      <c r="AR3">
        <v>0.58302544658287392</v>
      </c>
      <c r="AS3">
        <v>0.40194183464597449</v>
      </c>
      <c r="AT3">
        <v>0.34819414477778382</v>
      </c>
      <c r="AU3">
        <v>0.57761040755651449</v>
      </c>
      <c r="AV3">
        <v>8.8705182529609003E-2</v>
      </c>
      <c r="AW3">
        <v>0.12392316672742459</v>
      </c>
      <c r="AX3">
        <v>6.8135300392081558E-2</v>
      </c>
      <c r="AY3">
        <v>9.2770737142567755E-2</v>
      </c>
    </row>
    <row r="4" spans="1:51" x14ac:dyDescent="0.25">
      <c r="A4" t="s">
        <v>57</v>
      </c>
      <c r="B4">
        <v>2.4095835131572172</v>
      </c>
      <c r="C4">
        <v>6.8759996692808092E-2</v>
      </c>
      <c r="D4">
        <v>4.1750046559035363</v>
      </c>
      <c r="E4">
        <v>4.9126217546593294</v>
      </c>
      <c r="F4">
        <v>4.716126221946995</v>
      </c>
      <c r="G4">
        <v>5.7891650216960002</v>
      </c>
      <c r="H4">
        <v>5.7397958425889612</v>
      </c>
      <c r="I4">
        <v>5.6808340736697236</v>
      </c>
      <c r="J4">
        <v>0.1019727314066162</v>
      </c>
      <c r="K4">
        <v>9.6153879304654813E-2</v>
      </c>
      <c r="L4">
        <v>9.2456905675710743E-2</v>
      </c>
      <c r="M4">
        <v>0.27167778894999839</v>
      </c>
      <c r="N4">
        <v>0.26489762383479037</v>
      </c>
      <c r="O4">
        <v>0.2588951297543341</v>
      </c>
      <c r="P4">
        <v>0.17783606241004049</v>
      </c>
      <c r="Q4">
        <v>0.1575584469270124</v>
      </c>
      <c r="R4">
        <v>0.15794341637102999</v>
      </c>
      <c r="S4">
        <v>5.8296808014505039</v>
      </c>
      <c r="T4">
        <v>5.6354731513939873</v>
      </c>
      <c r="U4">
        <v>5.8296808014505039</v>
      </c>
      <c r="V4">
        <v>5.7219898803687617</v>
      </c>
      <c r="W4">
        <v>0.20748780995844521</v>
      </c>
      <c r="X4">
        <v>5.1511167908548053E-2</v>
      </c>
      <c r="Y4">
        <v>9.6851067945789085E-2</v>
      </c>
      <c r="Z4">
        <v>0.57186350472630887</v>
      </c>
      <c r="AA4">
        <v>0.1126647756004641</v>
      </c>
      <c r="AB4">
        <v>0.26543335392494949</v>
      </c>
      <c r="AC4">
        <v>0.38623542782977882</v>
      </c>
      <c r="AD4">
        <v>9.019885669903141E-2</v>
      </c>
      <c r="AE4">
        <v>0.16444039596872301</v>
      </c>
      <c r="AF4">
        <v>4.6234089225347379</v>
      </c>
      <c r="AG4">
        <v>5.792819543693283</v>
      </c>
      <c r="AH4">
        <v>5.6798269978590756</v>
      </c>
      <c r="AI4">
        <v>25</v>
      </c>
      <c r="AJ4">
        <v>20</v>
      </c>
      <c r="AK4">
        <v>45</v>
      </c>
      <c r="AL4">
        <v>0.44444444444444442</v>
      </c>
      <c r="AM4">
        <v>0.46398225155471268</v>
      </c>
      <c r="AN4">
        <v>0.39251723028270208</v>
      </c>
      <c r="AO4">
        <v>0.51979086881876613</v>
      </c>
      <c r="AP4">
        <v>0.43994443679065298</v>
      </c>
      <c r="AQ4">
        <v>0.38849577349579262</v>
      </c>
      <c r="AR4">
        <v>0.47827729431714172</v>
      </c>
      <c r="AS4">
        <v>0.4137329058743181</v>
      </c>
      <c r="AT4">
        <v>0.35748327140604008</v>
      </c>
      <c r="AU4">
        <v>0.55806164937495784</v>
      </c>
      <c r="AV4">
        <v>9.0384733532245465E-2</v>
      </c>
      <c r="AW4">
        <v>6.0680984365636417E-2</v>
      </c>
      <c r="AX4">
        <v>0.1103992277664653</v>
      </c>
      <c r="AY4">
        <v>8.8089866216135848E-2</v>
      </c>
    </row>
    <row r="5" spans="1:51" x14ac:dyDescent="0.25">
      <c r="A5" t="s">
        <v>58</v>
      </c>
      <c r="B5">
        <v>3.3335587796568311</v>
      </c>
      <c r="C5">
        <v>9.2372932145803707E-2</v>
      </c>
      <c r="D5">
        <v>3.7480664914646309</v>
      </c>
      <c r="E5">
        <v>4.6906837401170103</v>
      </c>
      <c r="F5">
        <v>1.3337093471345809</v>
      </c>
      <c r="G5">
        <v>5.7631660072611126</v>
      </c>
      <c r="H5">
        <v>5.7196331574932691</v>
      </c>
      <c r="I5">
        <v>5.6780696220069844</v>
      </c>
      <c r="J5">
        <v>9.9895119769679158E-2</v>
      </c>
      <c r="K5">
        <v>0.11213990484781811</v>
      </c>
      <c r="L5">
        <v>9.45243386841709E-2</v>
      </c>
      <c r="M5">
        <v>0.2442032943038939</v>
      </c>
      <c r="N5">
        <v>0.25307038066198201</v>
      </c>
      <c r="O5">
        <v>0.22627347944563039</v>
      </c>
      <c r="P5">
        <v>0.17690146852538649</v>
      </c>
      <c r="Q5">
        <v>0.19524820683066349</v>
      </c>
      <c r="R5">
        <v>0.16087362533095581</v>
      </c>
      <c r="S5">
        <v>5.7938329703654334</v>
      </c>
      <c r="T5">
        <v>5.6427905180369962</v>
      </c>
      <c r="U5">
        <v>5.7938329703654334</v>
      </c>
      <c r="V5">
        <v>5.6984960471554258</v>
      </c>
      <c r="W5">
        <v>0.204819495402455</v>
      </c>
      <c r="X5">
        <v>3.9164341395332092E-2</v>
      </c>
      <c r="Y5">
        <v>0.1039367523108671</v>
      </c>
      <c r="Z5">
        <v>0.37294143257686202</v>
      </c>
      <c r="AA5">
        <v>0.111653359647538</v>
      </c>
      <c r="AB5">
        <v>0.24429183839683091</v>
      </c>
      <c r="AC5">
        <v>0.36855318965924638</v>
      </c>
      <c r="AD5">
        <v>9.2498116473561529E-2</v>
      </c>
      <c r="AE5">
        <v>0.18119531712188311</v>
      </c>
      <c r="AF5">
        <v>3.3956335014280778</v>
      </c>
      <c r="AG5">
        <v>5.7673945902535531</v>
      </c>
      <c r="AH5">
        <v>5.6740857659886794</v>
      </c>
      <c r="AI5">
        <v>23</v>
      </c>
      <c r="AJ5">
        <v>27</v>
      </c>
      <c r="AK5">
        <v>50</v>
      </c>
      <c r="AL5">
        <v>0.54</v>
      </c>
      <c r="AM5">
        <v>0.46258669845107431</v>
      </c>
      <c r="AN5">
        <v>0.41296736574639792</v>
      </c>
      <c r="AO5">
        <v>0.5228785578199513</v>
      </c>
      <c r="AP5">
        <v>0.42449720207618769</v>
      </c>
      <c r="AQ5">
        <v>0.37627291756490039</v>
      </c>
      <c r="AR5">
        <v>0.50477634706870689</v>
      </c>
      <c r="AS5">
        <v>0.3993137527751347</v>
      </c>
      <c r="AT5">
        <v>0.35385803933645671</v>
      </c>
      <c r="AU5">
        <v>0.46307636881946529</v>
      </c>
      <c r="AV5">
        <v>4.9436624108650372E-2</v>
      </c>
      <c r="AW5">
        <v>5.0465688769876463E-2</v>
      </c>
      <c r="AX5">
        <v>8.1400656846466579E-2</v>
      </c>
      <c r="AY5">
        <v>5.7961598771276927E-2</v>
      </c>
    </row>
    <row r="6" spans="1:51" x14ac:dyDescent="0.25">
      <c r="A6" t="s">
        <v>59</v>
      </c>
      <c r="B6">
        <v>4.0774261733090711</v>
      </c>
      <c r="C6">
        <v>0.10275150785111919</v>
      </c>
      <c r="D6">
        <v>2.137264393879688</v>
      </c>
      <c r="E6">
        <v>6.8661108798544328</v>
      </c>
      <c r="F6">
        <v>6.6555785773173897</v>
      </c>
      <c r="G6">
        <v>5.813262529243552</v>
      </c>
      <c r="H6">
        <v>5.7580852812209864</v>
      </c>
      <c r="I6">
        <v>5.7014716202454112</v>
      </c>
      <c r="J6">
        <v>8.6474064113826327E-2</v>
      </c>
      <c r="K6">
        <v>9.9130215849408967E-2</v>
      </c>
      <c r="L6">
        <v>0.1020435779095504</v>
      </c>
      <c r="M6">
        <v>0.22109595759256589</v>
      </c>
      <c r="N6">
        <v>0.26363569744561932</v>
      </c>
      <c r="O6">
        <v>0.23667458502852909</v>
      </c>
      <c r="P6">
        <v>0.14510219118560169</v>
      </c>
      <c r="Q6">
        <v>0.1658564223728336</v>
      </c>
      <c r="R6">
        <v>0.17818264823946911</v>
      </c>
      <c r="S6">
        <v>5.8447445128310784</v>
      </c>
      <c r="T6">
        <v>5.6568266704042163</v>
      </c>
      <c r="U6">
        <v>5.8447445128310784</v>
      </c>
      <c r="V6">
        <v>5.7879776620960373</v>
      </c>
      <c r="W6">
        <v>0.16061952514251229</v>
      </c>
      <c r="X6">
        <v>4.9607795625875702E-2</v>
      </c>
      <c r="Y6">
        <v>9.6469806294993493E-2</v>
      </c>
      <c r="Z6">
        <v>0.49313872206279558</v>
      </c>
      <c r="AA6">
        <v>0.11306854438797199</v>
      </c>
      <c r="AB6">
        <v>0.24561338480555719</v>
      </c>
      <c r="AC6">
        <v>0.29390453790056248</v>
      </c>
      <c r="AD6">
        <v>8.3874069199573353E-2</v>
      </c>
      <c r="AE6">
        <v>0.1632377137563947</v>
      </c>
      <c r="AF6">
        <v>5.4288727791600069</v>
      </c>
      <c r="AG6">
        <v>5.8181066885164974</v>
      </c>
      <c r="AH6">
        <v>5.6970323595370367</v>
      </c>
      <c r="AI6">
        <v>23</v>
      </c>
      <c r="AJ6">
        <v>33</v>
      </c>
      <c r="AK6">
        <v>56</v>
      </c>
      <c r="AL6">
        <v>0.5892857142857143</v>
      </c>
      <c r="AM6">
        <v>0.4768810650856779</v>
      </c>
      <c r="AN6">
        <v>0.42583422072263438</v>
      </c>
      <c r="AO6">
        <v>0.52335876868656994</v>
      </c>
      <c r="AP6">
        <v>0.44686360758869292</v>
      </c>
      <c r="AQ6">
        <v>0.36575868741558931</v>
      </c>
      <c r="AR6">
        <v>0.53178917806410186</v>
      </c>
      <c r="AS6">
        <v>0.39522896766845428</v>
      </c>
      <c r="AT6">
        <v>0.36088324653332621</v>
      </c>
      <c r="AU6">
        <v>0.47660328204753027</v>
      </c>
      <c r="AV6">
        <v>8.9750292426936634E-2</v>
      </c>
      <c r="AW6">
        <v>9.3794848594055125E-2</v>
      </c>
      <c r="AX6">
        <v>6.4972147719863316E-2</v>
      </c>
      <c r="AY6">
        <v>8.5252767148010195E-2</v>
      </c>
    </row>
    <row r="7" spans="1:51" x14ac:dyDescent="0.25">
      <c r="A7" t="s">
        <v>60</v>
      </c>
      <c r="B7">
        <v>3.0993279867280701</v>
      </c>
      <c r="C7">
        <v>6.1525506480767253E-2</v>
      </c>
      <c r="D7">
        <v>7.7724346003933791</v>
      </c>
      <c r="E7">
        <v>6.1065602442693487</v>
      </c>
      <c r="F7">
        <v>5.1365107402452734</v>
      </c>
      <c r="G7">
        <v>5.8246414561601281</v>
      </c>
      <c r="H7">
        <v>5.7596613782206667</v>
      </c>
      <c r="I7">
        <v>5.6963431078719431</v>
      </c>
      <c r="J7">
        <v>0.10022409020522791</v>
      </c>
      <c r="K7">
        <v>9.1567361251868068E-2</v>
      </c>
      <c r="L7">
        <v>9.4027016172874248E-2</v>
      </c>
      <c r="M7">
        <v>0.23715423532543781</v>
      </c>
      <c r="N7">
        <v>0.26160173253695301</v>
      </c>
      <c r="O7">
        <v>0.2232645498342074</v>
      </c>
      <c r="P7">
        <v>0.17124212577454201</v>
      </c>
      <c r="Q7">
        <v>0.15748616425703241</v>
      </c>
      <c r="R7">
        <v>0.1556166027275524</v>
      </c>
      <c r="S7">
        <v>5.9171744202802579</v>
      </c>
      <c r="T7">
        <v>5.599571244167274</v>
      </c>
      <c r="U7">
        <v>5.9171744202802579</v>
      </c>
      <c r="V7">
        <v>5.7346052957316704</v>
      </c>
      <c r="W7">
        <v>0.24929580729942549</v>
      </c>
      <c r="X7">
        <v>4.4061927787611657E-2</v>
      </c>
      <c r="Y7">
        <v>9.5544662897429758E-2</v>
      </c>
      <c r="Z7">
        <v>0.55100853843600761</v>
      </c>
      <c r="AA7">
        <v>0.1073833428279035</v>
      </c>
      <c r="AB7">
        <v>0.23988111659775299</v>
      </c>
      <c r="AC7">
        <v>0.34049383590570931</v>
      </c>
      <c r="AD7">
        <v>6.9521721476122136E-2</v>
      </c>
      <c r="AE7">
        <v>0.16184626044519429</v>
      </c>
      <c r="AF7">
        <v>6.3749931782825806</v>
      </c>
      <c r="AG7">
        <v>5.8282737760393299</v>
      </c>
      <c r="AH7">
        <v>5.6927086557458102</v>
      </c>
      <c r="AI7">
        <v>38</v>
      </c>
      <c r="AJ7">
        <v>25</v>
      </c>
      <c r="AK7">
        <v>63</v>
      </c>
      <c r="AL7">
        <v>0.3968253968253968</v>
      </c>
      <c r="AM7">
        <v>0.48509813030855858</v>
      </c>
      <c r="AN7">
        <v>0.43334778732706369</v>
      </c>
      <c r="AO7">
        <v>0.54166899543995872</v>
      </c>
      <c r="AP7">
        <v>0.44373818788910119</v>
      </c>
      <c r="AQ7">
        <v>0.37859941039167921</v>
      </c>
      <c r="AR7">
        <v>0.5011401038687775</v>
      </c>
      <c r="AS7">
        <v>0.3940609401963297</v>
      </c>
      <c r="AT7">
        <v>0.35113651182730388</v>
      </c>
      <c r="AU7">
        <v>0.45863220763250251</v>
      </c>
      <c r="AV7">
        <v>6.0488387755506759E-2</v>
      </c>
      <c r="AW7">
        <v>8.3743678745042321E-2</v>
      </c>
      <c r="AX7">
        <v>7.466547343734356E-2</v>
      </c>
      <c r="AY7">
        <v>7.1451307218608207E-2</v>
      </c>
    </row>
    <row r="8" spans="1:51" x14ac:dyDescent="0.25">
      <c r="A8" t="s">
        <v>61</v>
      </c>
      <c r="B8">
        <v>2.0970713304413939</v>
      </c>
      <c r="C8">
        <v>4.2220513389322742E-2</v>
      </c>
      <c r="D8">
        <v>1.6603995352417491</v>
      </c>
      <c r="E8">
        <v>1.9008997759998389</v>
      </c>
      <c r="F8">
        <v>1.1392138155202021</v>
      </c>
      <c r="G8">
        <v>5.8008409965571941</v>
      </c>
      <c r="H8">
        <v>5.7390309063258824</v>
      </c>
      <c r="I8">
        <v>5.6804189256866424</v>
      </c>
      <c r="J8">
        <v>7.1726550719763749E-2</v>
      </c>
      <c r="K8">
        <v>6.6077384071187892E-2</v>
      </c>
      <c r="L8">
        <v>5.8747786750720343E-2</v>
      </c>
      <c r="M8">
        <v>0.16125124369401769</v>
      </c>
      <c r="N8">
        <v>0.22617963482796741</v>
      </c>
      <c r="O8">
        <v>0.1362084652526126</v>
      </c>
      <c r="P8">
        <v>0.1249647696818174</v>
      </c>
      <c r="Q8">
        <v>0.1059855565407231</v>
      </c>
      <c r="R8">
        <v>9.7349929426204157E-2</v>
      </c>
      <c r="S8">
        <v>5.8238217317294598</v>
      </c>
      <c r="T8">
        <v>5.6552346435413687</v>
      </c>
      <c r="U8">
        <v>5.8238217317294598</v>
      </c>
      <c r="V8">
        <v>5.7703364107450534</v>
      </c>
      <c r="W8">
        <v>0.10638632478602129</v>
      </c>
      <c r="X8">
        <v>3.3760714134426183E-2</v>
      </c>
      <c r="Y8">
        <v>6.5422016109150133E-2</v>
      </c>
      <c r="Z8">
        <v>0.4157020548073081</v>
      </c>
      <c r="AA8">
        <v>8.082436562000421E-2</v>
      </c>
      <c r="AB8">
        <v>0.1666830434987219</v>
      </c>
      <c r="AC8">
        <v>0.1682925600812413</v>
      </c>
      <c r="AD8">
        <v>6.704166455525927E-2</v>
      </c>
      <c r="AE8">
        <v>0.1101475311079045</v>
      </c>
      <c r="AF8">
        <v>1.486565575216982</v>
      </c>
      <c r="AG8">
        <v>5.8024036143377122</v>
      </c>
      <c r="AH8">
        <v>5.6791406137414482</v>
      </c>
      <c r="AI8">
        <v>41</v>
      </c>
      <c r="AJ8">
        <v>18</v>
      </c>
      <c r="AK8">
        <v>59</v>
      </c>
      <c r="AL8">
        <v>0.30508474576271188</v>
      </c>
      <c r="AM8">
        <v>0.49040704355461268</v>
      </c>
      <c r="AN8">
        <v>0.43560990545917683</v>
      </c>
      <c r="AO8">
        <v>0.53213331920043705</v>
      </c>
      <c r="AP8">
        <v>0.45599170939880063</v>
      </c>
      <c r="AQ8">
        <v>0.39061064932969303</v>
      </c>
      <c r="AR8">
        <v>0.54056440323057486</v>
      </c>
      <c r="AS8">
        <v>0.40767428515796339</v>
      </c>
      <c r="AT8">
        <v>0.37319726112283869</v>
      </c>
      <c r="AU8">
        <v>0.45041784797729872</v>
      </c>
      <c r="AV8">
        <v>5.4825716431985839E-2</v>
      </c>
      <c r="AW8">
        <v>8.5868775931385491E-2</v>
      </c>
      <c r="AX8">
        <v>5.0648686779683837E-2</v>
      </c>
      <c r="AY8">
        <v>5.8949922042312829E-2</v>
      </c>
    </row>
    <row r="9" spans="1:51" x14ac:dyDescent="0.25">
      <c r="AL9" s="1"/>
    </row>
    <row r="10" spans="1:51" x14ac:dyDescent="0.25">
      <c r="A10" t="s">
        <v>62</v>
      </c>
      <c r="B10">
        <f>AVERAGE(B2:B8)</f>
        <v>2.977835960440967</v>
      </c>
      <c r="C10">
        <f t="shared" ref="C10:AL10" si="0">AVERAGE(C2:C8)</f>
        <v>7.4947297643927269E-2</v>
      </c>
      <c r="D10">
        <f t="shared" si="0"/>
        <v>4.226098869577056</v>
      </c>
      <c r="E10">
        <f t="shared" si="0"/>
        <v>5.1149256423354021</v>
      </c>
      <c r="F10">
        <f t="shared" si="0"/>
        <v>3.9381721992986671</v>
      </c>
      <c r="G10">
        <f t="shared" si="0"/>
        <v>5.8023935450578312</v>
      </c>
      <c r="H10">
        <f t="shared" si="0"/>
        <v>5.7449786645705077</v>
      </c>
      <c r="I10">
        <f t="shared" si="0"/>
        <v>5.6868094193057894</v>
      </c>
      <c r="J10">
        <f t="shared" si="0"/>
        <v>9.9945087970601906E-2</v>
      </c>
      <c r="K10">
        <f t="shared" si="0"/>
        <v>0.10184593641474041</v>
      </c>
      <c r="L10">
        <f t="shared" si="0"/>
        <v>9.523974061015443E-2</v>
      </c>
      <c r="M10">
        <f t="shared" si="0"/>
        <v>0.23813259182053512</v>
      </c>
      <c r="N10">
        <f t="shared" si="0"/>
        <v>0.27123026924224131</v>
      </c>
      <c r="O10">
        <f t="shared" si="0"/>
        <v>0.22483299226549811</v>
      </c>
      <c r="P10">
        <f t="shared" si="0"/>
        <v>0.17386380589594386</v>
      </c>
      <c r="Q10">
        <f t="shared" si="0"/>
        <v>0.17185927578417501</v>
      </c>
      <c r="R10">
        <f t="shared" si="0"/>
        <v>0.16243829947095326</v>
      </c>
      <c r="S10">
        <f t="shared" si="0"/>
        <v>5.8473196948856199</v>
      </c>
      <c r="T10">
        <f t="shared" si="0"/>
        <v>5.6385962143464443</v>
      </c>
      <c r="U10">
        <f t="shared" si="0"/>
        <v>5.8473196948856199</v>
      </c>
      <c r="V10">
        <f t="shared" si="0"/>
        <v>5.7496222346453782</v>
      </c>
      <c r="W10">
        <f t="shared" si="0"/>
        <v>0.20842411085984974</v>
      </c>
      <c r="X10">
        <f t="shared" si="0"/>
        <v>4.3435519871353481E-2</v>
      </c>
      <c r="Y10">
        <f t="shared" si="0"/>
        <v>9.9461320842849643E-2</v>
      </c>
      <c r="Z10">
        <f t="shared" si="0"/>
        <v>0.55920301714537113</v>
      </c>
      <c r="AA10">
        <f t="shared" si="0"/>
        <v>0.10692625998779455</v>
      </c>
      <c r="AB10">
        <f t="shared" si="0"/>
        <v>0.24613651053615307</v>
      </c>
      <c r="AC10">
        <f t="shared" si="0"/>
        <v>0.34852522873789243</v>
      </c>
      <c r="AD10">
        <f t="shared" si="0"/>
        <v>7.9151012746273813E-2</v>
      </c>
      <c r="AE10">
        <f t="shared" si="0"/>
        <v>0.17022351364185745</v>
      </c>
      <c r="AF10">
        <f t="shared" si="0"/>
        <v>4.4638489518772682</v>
      </c>
      <c r="AG10">
        <f t="shared" si="0"/>
        <v>5.8062628081152541</v>
      </c>
      <c r="AH10">
        <f t="shared" si="0"/>
        <v>5.6834187342815552</v>
      </c>
      <c r="AI10">
        <f t="shared" si="0"/>
        <v>28.714285714285715</v>
      </c>
      <c r="AJ10">
        <f t="shared" si="0"/>
        <v>24.142857142857142</v>
      </c>
      <c r="AK10">
        <f t="shared" si="0"/>
        <v>52.857142857142854</v>
      </c>
      <c r="AL10">
        <f t="shared" ref="AL10:AY10" si="1">AVERAGE(AL2:AL8)</f>
        <v>0.46003240451179245</v>
      </c>
      <c r="AM10">
        <f t="shared" si="1"/>
        <v>0.4788190295182625</v>
      </c>
      <c r="AN10">
        <f t="shared" si="1"/>
        <v>0.42073393907298529</v>
      </c>
      <c r="AO10">
        <f t="shared" si="1"/>
        <v>0.54682822286445409</v>
      </c>
      <c r="AP10">
        <f t="shared" si="1"/>
        <v>0.44295114061005325</v>
      </c>
      <c r="AQ10">
        <f t="shared" si="1"/>
        <v>0.36977376526641859</v>
      </c>
      <c r="AR10">
        <f t="shared" si="1"/>
        <v>0.52314176953097258</v>
      </c>
      <c r="AS10">
        <f t="shared" si="1"/>
        <v>0.40236542170965311</v>
      </c>
      <c r="AT10">
        <f t="shared" si="1"/>
        <v>0.35468743703915806</v>
      </c>
      <c r="AU10">
        <f t="shared" si="1"/>
        <v>0.4960012804035861</v>
      </c>
      <c r="AV10">
        <f t="shared" si="1"/>
        <v>7.9388124234224547E-2</v>
      </c>
      <c r="AW10">
        <f t="shared" si="1"/>
        <v>8.8311027143252882E-2</v>
      </c>
      <c r="AX10">
        <f t="shared" si="1"/>
        <v>7.5724404624943925E-2</v>
      </c>
      <c r="AY10">
        <f t="shared" si="1"/>
        <v>8.0794977127930448E-2</v>
      </c>
    </row>
    <row r="11" spans="1:51" x14ac:dyDescent="0.25">
      <c r="A11" t="s">
        <v>63</v>
      </c>
      <c r="B11">
        <f>_xlfn.STDEV.S(B2:B8)</f>
        <v>0.67087162378137088</v>
      </c>
      <c r="C11">
        <f t="shared" ref="C11:AL11" si="2">_xlfn.STDEV.S(C2:C8)</f>
        <v>2.0407055709024218E-2</v>
      </c>
      <c r="D11">
        <f t="shared" si="2"/>
        <v>2.0520665129844269</v>
      </c>
      <c r="E11">
        <f t="shared" si="2"/>
        <v>1.8987659841633504</v>
      </c>
      <c r="F11">
        <f t="shared" si="2"/>
        <v>2.0573882372747021</v>
      </c>
      <c r="G11">
        <f t="shared" si="2"/>
        <v>2.1686121029419109E-2</v>
      </c>
      <c r="H11">
        <f t="shared" si="2"/>
        <v>1.4487772410045896E-2</v>
      </c>
      <c r="I11">
        <f t="shared" si="2"/>
        <v>8.8164362853049832E-3</v>
      </c>
      <c r="J11">
        <f t="shared" si="2"/>
        <v>1.8560767852969482E-2</v>
      </c>
      <c r="K11">
        <f t="shared" si="2"/>
        <v>2.0450642310304717E-2</v>
      </c>
      <c r="L11">
        <f t="shared" si="2"/>
        <v>1.8643832795730519E-2</v>
      </c>
      <c r="M11">
        <f t="shared" si="2"/>
        <v>4.0026839289788313E-2</v>
      </c>
      <c r="N11">
        <f t="shared" si="2"/>
        <v>3.258489404289059E-2</v>
      </c>
      <c r="O11">
        <f t="shared" si="2"/>
        <v>4.1122124188020817E-2</v>
      </c>
      <c r="P11">
        <f t="shared" si="2"/>
        <v>3.4326118260725985E-2</v>
      </c>
      <c r="Q11">
        <f t="shared" si="2"/>
        <v>3.7293679837318482E-2</v>
      </c>
      <c r="R11">
        <f t="shared" si="2"/>
        <v>3.4210822162808519E-2</v>
      </c>
      <c r="S11">
        <f t="shared" si="2"/>
        <v>3.9259545558551559E-2</v>
      </c>
      <c r="T11">
        <f t="shared" si="2"/>
        <v>1.9631614753458568E-2</v>
      </c>
      <c r="U11">
        <f t="shared" si="2"/>
        <v>3.9259545558551559E-2</v>
      </c>
      <c r="V11">
        <f t="shared" si="2"/>
        <v>3.3262090155804051E-2</v>
      </c>
      <c r="W11">
        <f t="shared" si="2"/>
        <v>5.9417184199210278E-2</v>
      </c>
      <c r="X11">
        <f t="shared" si="2"/>
        <v>6.0735062039732335E-3</v>
      </c>
      <c r="Y11">
        <f t="shared" si="2"/>
        <v>1.8599310427107593E-2</v>
      </c>
      <c r="Z11">
        <f t="shared" si="2"/>
        <v>0.15185817562641743</v>
      </c>
      <c r="AA11">
        <f t="shared" si="2"/>
        <v>1.7180668226890468E-2</v>
      </c>
      <c r="AB11">
        <f t="shared" si="2"/>
        <v>3.9665078589363717E-2</v>
      </c>
      <c r="AC11">
        <f t="shared" si="2"/>
        <v>9.8939172773263126E-2</v>
      </c>
      <c r="AD11">
        <f t="shared" si="2"/>
        <v>1.0662940171276119E-2</v>
      </c>
      <c r="AE11">
        <f t="shared" si="2"/>
        <v>3.3623167038071632E-2</v>
      </c>
      <c r="AF11">
        <f t="shared" si="2"/>
        <v>1.6641552536515303</v>
      </c>
      <c r="AG11">
        <f t="shared" si="2"/>
        <v>2.2142076771773253E-2</v>
      </c>
      <c r="AH11">
        <f t="shared" si="2"/>
        <v>8.2295007802757683E-3</v>
      </c>
      <c r="AI11">
        <f t="shared" si="2"/>
        <v>7.4992063072098007</v>
      </c>
      <c r="AJ11">
        <f t="shared" si="2"/>
        <v>5.2098807225172736</v>
      </c>
      <c r="AK11">
        <f t="shared" si="2"/>
        <v>6.7188434378884647</v>
      </c>
      <c r="AL11">
        <f t="shared" ref="AL11:AY11" si="3">_xlfn.STDEV.S(AL2:AL8)</f>
        <v>9.5274058891639327E-2</v>
      </c>
      <c r="AM11">
        <f t="shared" si="3"/>
        <v>1.1628372273308211E-2</v>
      </c>
      <c r="AN11">
        <f t="shared" si="3"/>
        <v>1.5055246075970695E-2</v>
      </c>
      <c r="AO11">
        <f t="shared" si="3"/>
        <v>4.096092666606127E-2</v>
      </c>
      <c r="AP11">
        <f t="shared" si="3"/>
        <v>9.8069884741986794E-3</v>
      </c>
      <c r="AQ11">
        <f t="shared" si="3"/>
        <v>2.1604834122261413E-2</v>
      </c>
      <c r="AR11">
        <f t="shared" si="3"/>
        <v>3.3662752155702587E-2</v>
      </c>
      <c r="AS11">
        <f t="shared" si="3"/>
        <v>6.9738335583189627E-3</v>
      </c>
      <c r="AT11">
        <f t="shared" si="3"/>
        <v>1.0960258780444331E-2</v>
      </c>
      <c r="AU11">
        <f t="shared" si="3"/>
        <v>5.0853758762609287E-2</v>
      </c>
      <c r="AV11">
        <f t="shared" si="3"/>
        <v>2.5817410412493455E-2</v>
      </c>
      <c r="AW11">
        <f t="shared" si="3"/>
        <v>2.7404627059716448E-2</v>
      </c>
      <c r="AX11">
        <f t="shared" si="3"/>
        <v>1.850539010969349E-2</v>
      </c>
      <c r="AY11">
        <f t="shared" si="3"/>
        <v>1.9235756571404999E-2</v>
      </c>
    </row>
    <row r="12" spans="1:51" x14ac:dyDescent="0.25">
      <c r="A12" t="s">
        <v>64</v>
      </c>
      <c r="B12">
        <f>MIN(B2:B8)</f>
        <v>2.0970713304413939</v>
      </c>
      <c r="C12">
        <f t="shared" ref="C12:AL12" si="4">MIN(C2:C8)</f>
        <v>4.2220513389322742E-2</v>
      </c>
      <c r="D12">
        <f t="shared" si="4"/>
        <v>1.6603995352417491</v>
      </c>
      <c r="E12">
        <f t="shared" si="4"/>
        <v>1.9008997759998389</v>
      </c>
      <c r="F12">
        <f t="shared" si="4"/>
        <v>1.1392138155202021</v>
      </c>
      <c r="G12">
        <f t="shared" si="4"/>
        <v>5.7631660072611126</v>
      </c>
      <c r="H12">
        <f t="shared" si="4"/>
        <v>5.7196331574932691</v>
      </c>
      <c r="I12">
        <f t="shared" si="4"/>
        <v>5.6780696220069844</v>
      </c>
      <c r="J12">
        <f t="shared" si="4"/>
        <v>7.1726550719763749E-2</v>
      </c>
      <c r="K12">
        <f t="shared" si="4"/>
        <v>6.6077384071187892E-2</v>
      </c>
      <c r="L12">
        <f t="shared" si="4"/>
        <v>5.8747786750720343E-2</v>
      </c>
      <c r="M12">
        <f t="shared" si="4"/>
        <v>0.16125124369401769</v>
      </c>
      <c r="N12">
        <f t="shared" si="4"/>
        <v>0.22617963482796741</v>
      </c>
      <c r="O12">
        <f t="shared" si="4"/>
        <v>0.1362084652526126</v>
      </c>
      <c r="P12">
        <f t="shared" si="4"/>
        <v>0.1249647696818174</v>
      </c>
      <c r="Q12">
        <f t="shared" si="4"/>
        <v>0.1059855565407231</v>
      </c>
      <c r="R12">
        <f t="shared" si="4"/>
        <v>9.7349929426204157E-2</v>
      </c>
      <c r="S12">
        <f t="shared" si="4"/>
        <v>5.7938329703654334</v>
      </c>
      <c r="T12">
        <f t="shared" si="4"/>
        <v>5.599571244167274</v>
      </c>
      <c r="U12">
        <f t="shared" si="4"/>
        <v>5.7938329703654334</v>
      </c>
      <c r="V12">
        <f t="shared" si="4"/>
        <v>5.6984960471554258</v>
      </c>
      <c r="W12">
        <f t="shared" si="4"/>
        <v>0.10638632478602129</v>
      </c>
      <c r="X12">
        <f t="shared" si="4"/>
        <v>3.3760714134426183E-2</v>
      </c>
      <c r="Y12">
        <f t="shared" si="4"/>
        <v>6.5422016109150133E-2</v>
      </c>
      <c r="Z12">
        <f t="shared" si="4"/>
        <v>0.37294143257686202</v>
      </c>
      <c r="AA12">
        <f t="shared" si="4"/>
        <v>8.082436562000421E-2</v>
      </c>
      <c r="AB12">
        <f t="shared" si="4"/>
        <v>0.1666830434987219</v>
      </c>
      <c r="AC12">
        <f t="shared" si="4"/>
        <v>0.1682925600812413</v>
      </c>
      <c r="AD12">
        <f t="shared" si="4"/>
        <v>6.704166455525927E-2</v>
      </c>
      <c r="AE12">
        <f t="shared" si="4"/>
        <v>0.1101475311079045</v>
      </c>
      <c r="AF12">
        <f t="shared" si="4"/>
        <v>1.486565575216982</v>
      </c>
      <c r="AG12">
        <f t="shared" si="4"/>
        <v>5.7673945902535531</v>
      </c>
      <c r="AH12">
        <f t="shared" si="4"/>
        <v>5.6740857659886794</v>
      </c>
      <c r="AI12">
        <f t="shared" si="4"/>
        <v>23</v>
      </c>
      <c r="AJ12">
        <f t="shared" si="4"/>
        <v>18</v>
      </c>
      <c r="AK12">
        <f t="shared" si="4"/>
        <v>45</v>
      </c>
      <c r="AL12">
        <f t="shared" ref="AL12:AY12" si="5">MIN(AL2:AL8)</f>
        <v>0.30508474576271188</v>
      </c>
      <c r="AM12">
        <f t="shared" si="5"/>
        <v>0.46258669845107431</v>
      </c>
      <c r="AN12">
        <f t="shared" si="5"/>
        <v>0.39251723028270208</v>
      </c>
      <c r="AO12">
        <f t="shared" si="5"/>
        <v>0.51979086881876613</v>
      </c>
      <c r="AP12">
        <f t="shared" si="5"/>
        <v>0.42449720207618769</v>
      </c>
      <c r="AQ12">
        <f t="shared" si="5"/>
        <v>0.32722420099631189</v>
      </c>
      <c r="AR12">
        <f t="shared" si="5"/>
        <v>0.47827729431714172</v>
      </c>
      <c r="AS12">
        <f t="shared" si="5"/>
        <v>0.3940609401963297</v>
      </c>
      <c r="AT12">
        <f t="shared" si="5"/>
        <v>0.33805958427035698</v>
      </c>
      <c r="AU12">
        <f t="shared" si="5"/>
        <v>0.45041784797729872</v>
      </c>
      <c r="AV12">
        <f t="shared" si="5"/>
        <v>4.9436624108650372E-2</v>
      </c>
      <c r="AW12">
        <f t="shared" si="5"/>
        <v>5.0465688769876463E-2</v>
      </c>
      <c r="AX12">
        <f t="shared" si="5"/>
        <v>5.0648686779683837E-2</v>
      </c>
      <c r="AY12">
        <f t="shared" si="5"/>
        <v>5.7961598771276927E-2</v>
      </c>
    </row>
    <row r="13" spans="1:51" x14ac:dyDescent="0.25">
      <c r="A13" t="s">
        <v>65</v>
      </c>
      <c r="B13">
        <f>MAX(B2:B8)</f>
        <v>4.0774261733090711</v>
      </c>
      <c r="C13">
        <f t="shared" ref="C13:AL13" si="6">MAX(C2:C8)</f>
        <v>0.10275150785111919</v>
      </c>
      <c r="D13">
        <f t="shared" si="6"/>
        <v>7.7724346003933791</v>
      </c>
      <c r="E13">
        <f t="shared" si="6"/>
        <v>7.4566323857691854</v>
      </c>
      <c r="F13">
        <f t="shared" si="6"/>
        <v>6.6555785773173897</v>
      </c>
      <c r="G13">
        <f t="shared" si="6"/>
        <v>5.8246414561601281</v>
      </c>
      <c r="H13">
        <f t="shared" si="6"/>
        <v>5.7596613782206667</v>
      </c>
      <c r="I13">
        <f t="shared" si="6"/>
        <v>5.7014716202454112</v>
      </c>
      <c r="J13">
        <f t="shared" si="6"/>
        <v>0.13206295024151021</v>
      </c>
      <c r="K13">
        <f t="shared" si="6"/>
        <v>0.12524920023685679</v>
      </c>
      <c r="L13">
        <f t="shared" si="6"/>
        <v>0.1197271173505723</v>
      </c>
      <c r="M13">
        <f t="shared" si="6"/>
        <v>0.28475759803216899</v>
      </c>
      <c r="N13">
        <f t="shared" si="6"/>
        <v>0.31993452894564328</v>
      </c>
      <c r="O13">
        <f t="shared" si="6"/>
        <v>0.2588951297543341</v>
      </c>
      <c r="P13">
        <f t="shared" si="6"/>
        <v>0.23432274836040659</v>
      </c>
      <c r="Q13">
        <f t="shared" si="6"/>
        <v>0.2145893555469548</v>
      </c>
      <c r="R13">
        <f t="shared" si="6"/>
        <v>0.20987149957320769</v>
      </c>
      <c r="S13">
        <f t="shared" si="6"/>
        <v>5.9171744202802579</v>
      </c>
      <c r="T13">
        <f t="shared" si="6"/>
        <v>5.6568266704042163</v>
      </c>
      <c r="U13">
        <f t="shared" si="6"/>
        <v>5.9171744202802579</v>
      </c>
      <c r="V13">
        <f t="shared" si="6"/>
        <v>5.7879776620960373</v>
      </c>
      <c r="W13">
        <f t="shared" si="6"/>
        <v>0.27857050525258398</v>
      </c>
      <c r="X13">
        <f t="shared" si="6"/>
        <v>5.1511167908548053E-2</v>
      </c>
      <c r="Y13">
        <f t="shared" si="6"/>
        <v>0.12614692653743101</v>
      </c>
      <c r="Z13">
        <f t="shared" si="6"/>
        <v>0.78575372353497552</v>
      </c>
      <c r="AA13">
        <f t="shared" si="6"/>
        <v>0.13330447085225411</v>
      </c>
      <c r="AB13">
        <f t="shared" si="6"/>
        <v>0.29368983787467168</v>
      </c>
      <c r="AC13">
        <f t="shared" si="6"/>
        <v>0.48713770825003</v>
      </c>
      <c r="AD13">
        <f t="shared" si="6"/>
        <v>9.2498116473561529E-2</v>
      </c>
      <c r="AE13">
        <f t="shared" si="6"/>
        <v>0.22007315756332341</v>
      </c>
      <c r="AF13">
        <f t="shared" si="6"/>
        <v>6.3749931782825806</v>
      </c>
      <c r="AG13">
        <f t="shared" si="6"/>
        <v>5.8308653862081563</v>
      </c>
      <c r="AH13">
        <f t="shared" si="6"/>
        <v>5.6970323595370367</v>
      </c>
      <c r="AI13">
        <f t="shared" si="6"/>
        <v>41</v>
      </c>
      <c r="AJ13">
        <f t="shared" si="6"/>
        <v>33</v>
      </c>
      <c r="AK13">
        <f t="shared" si="6"/>
        <v>63</v>
      </c>
      <c r="AL13">
        <f t="shared" ref="AL13:AY13" si="7">MAX(AL2:AL8)</f>
        <v>0.5892857142857143</v>
      </c>
      <c r="AM13">
        <f t="shared" si="7"/>
        <v>0.49060929568715561</v>
      </c>
      <c r="AN13">
        <f t="shared" si="7"/>
        <v>0.43560990545917683</v>
      </c>
      <c r="AO13">
        <f t="shared" si="7"/>
        <v>0.63594518589373383</v>
      </c>
      <c r="AP13">
        <f t="shared" si="7"/>
        <v>0.45599170939880063</v>
      </c>
      <c r="AQ13">
        <f t="shared" si="7"/>
        <v>0.39061064932969303</v>
      </c>
      <c r="AR13">
        <f t="shared" si="7"/>
        <v>0.58302544658287392</v>
      </c>
      <c r="AS13">
        <f t="shared" si="7"/>
        <v>0.4137329058743181</v>
      </c>
      <c r="AT13">
        <f t="shared" si="7"/>
        <v>0.37319726112283869</v>
      </c>
      <c r="AU13">
        <f t="shared" si="7"/>
        <v>0.57761040755651449</v>
      </c>
      <c r="AV13">
        <f t="shared" si="7"/>
        <v>0.1221259328546377</v>
      </c>
      <c r="AW13">
        <f t="shared" si="7"/>
        <v>0.12392316672742459</v>
      </c>
      <c r="AX13">
        <f t="shared" si="7"/>
        <v>0.1103992277664653</v>
      </c>
      <c r="AY13">
        <f t="shared" si="7"/>
        <v>0.11108864135660131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412B-8324-45A2-A169-CE2BEE669EF3}">
  <dimension ref="A1:AY24"/>
  <sheetViews>
    <sheetView topLeftCell="X1" workbookViewId="0">
      <selection activeCell="B5" sqref="B5:AY5"/>
    </sheetView>
  </sheetViews>
  <sheetFormatPr defaultRowHeight="15" x14ac:dyDescent="0.25"/>
  <sheetData>
    <row r="1" spans="1:51" x14ac:dyDescent="0.25">
      <c r="A1" s="2" t="s">
        <v>66</v>
      </c>
      <c r="B1" t="s">
        <v>19</v>
      </c>
      <c r="C1" t="s">
        <v>34</v>
      </c>
      <c r="D1" t="s">
        <v>37</v>
      </c>
      <c r="E1" t="s">
        <v>77</v>
      </c>
      <c r="F1" t="s">
        <v>80</v>
      </c>
      <c r="G1" t="s">
        <v>21</v>
      </c>
      <c r="H1" t="s">
        <v>2</v>
      </c>
      <c r="I1" t="s">
        <v>12</v>
      </c>
      <c r="J1" t="s">
        <v>4</v>
      </c>
      <c r="K1" t="s">
        <v>8</v>
      </c>
      <c r="L1" t="s">
        <v>7</v>
      </c>
      <c r="M1" t="s">
        <v>33</v>
      </c>
      <c r="N1" t="s">
        <v>85</v>
      </c>
      <c r="O1" t="s">
        <v>9</v>
      </c>
      <c r="P1" t="s">
        <v>15</v>
      </c>
      <c r="Q1" t="s">
        <v>36</v>
      </c>
      <c r="R1" t="s">
        <v>35</v>
      </c>
      <c r="S1" t="s">
        <v>88</v>
      </c>
      <c r="T1" t="s">
        <v>6</v>
      </c>
      <c r="U1" t="s">
        <v>31</v>
      </c>
      <c r="V1" t="s">
        <v>32</v>
      </c>
      <c r="W1" t="s">
        <v>1</v>
      </c>
      <c r="X1" t="s">
        <v>76</v>
      </c>
      <c r="Y1" t="s">
        <v>3</v>
      </c>
      <c r="Z1" t="s">
        <v>24</v>
      </c>
      <c r="AA1" t="s">
        <v>30</v>
      </c>
      <c r="AB1" t="s">
        <v>16</v>
      </c>
      <c r="AC1" t="s">
        <v>27</v>
      </c>
      <c r="AD1" t="s">
        <v>79</v>
      </c>
      <c r="AE1" t="s">
        <v>28</v>
      </c>
      <c r="AF1" t="s">
        <v>84</v>
      </c>
      <c r="AG1" t="s">
        <v>10</v>
      </c>
      <c r="AH1" t="s">
        <v>22</v>
      </c>
      <c r="AI1" t="s">
        <v>87</v>
      </c>
      <c r="AJ1" t="s">
        <v>18</v>
      </c>
      <c r="AK1" t="s">
        <v>20</v>
      </c>
      <c r="AL1" t="s">
        <v>83</v>
      </c>
      <c r="AM1" t="s">
        <v>17</v>
      </c>
      <c r="AN1" t="s">
        <v>11</v>
      </c>
      <c r="AO1" t="s">
        <v>82</v>
      </c>
      <c r="AP1" t="s">
        <v>5</v>
      </c>
      <c r="AQ1" t="s">
        <v>25</v>
      </c>
      <c r="AR1" t="s">
        <v>14</v>
      </c>
      <c r="AS1" t="s">
        <v>29</v>
      </c>
      <c r="AT1" t="s">
        <v>81</v>
      </c>
      <c r="AU1" t="s">
        <v>78</v>
      </c>
      <c r="AV1" t="s">
        <v>23</v>
      </c>
      <c r="AW1" t="s">
        <v>86</v>
      </c>
      <c r="AX1" t="s">
        <v>13</v>
      </c>
      <c r="AY1" t="s">
        <v>26</v>
      </c>
    </row>
    <row r="2" spans="1:51" x14ac:dyDescent="0.25">
      <c r="A2" s="2" t="s">
        <v>67</v>
      </c>
      <c r="B2">
        <f>ABS(Treated!T10-Control!T20)</f>
        <v>3.6185712331397113E-2</v>
      </c>
      <c r="C2">
        <f>ABS(Treated!AI10-Control!AI20)</f>
        <v>14.521008403361343</v>
      </c>
      <c r="D2">
        <f>ABS(Treated!AL10-Control!AL20)</f>
        <v>0.16295526035219432</v>
      </c>
      <c r="E2">
        <f>ABS(Treated!AN10-Control!AN20)</f>
        <v>3.6156926781142185E-2</v>
      </c>
      <c r="F2">
        <f>ABS(Treated!AQ10-Control!AQ20)</f>
        <v>3.6812660122210017E-2</v>
      </c>
      <c r="G2">
        <f>ABS(Treated!V10-Control!V20)</f>
        <v>5.2835566220027275E-2</v>
      </c>
      <c r="H2">
        <f>ABS(Treated!C10-Control!C20)</f>
        <v>2.9782598565708709E-2</v>
      </c>
      <c r="I2">
        <f>ABS(Treated!M10-Control!M20)</f>
        <v>6.2520049031671049E-2</v>
      </c>
      <c r="J2">
        <f>ABS(Treated!E10-Control!E20)</f>
        <v>2.6042085984033969</v>
      </c>
      <c r="K2">
        <f>ABS(Treated!I10-Control!I20)</f>
        <v>1.3578255292442165E-2</v>
      </c>
      <c r="L2">
        <f>ABS(Treated!H10-Control!H20)</f>
        <v>2.582821310755623E-2</v>
      </c>
      <c r="M2">
        <f>ABS(Treated!AH10-Control!AH20)</f>
        <v>1.2545635241732356E-2</v>
      </c>
      <c r="N2">
        <f>ABS(Treated!AV10-Control!AV20)</f>
        <v>2.6833049937147711E-2</v>
      </c>
      <c r="O2">
        <f>ABS(Treated!J10-Control!J20)</f>
        <v>2.5225077935736112E-2</v>
      </c>
      <c r="P2">
        <f>ABS(Treated!P10-Control!P20)</f>
        <v>4.5062402943143315E-2</v>
      </c>
      <c r="Q2">
        <f>ABS(Treated!AK10-Control!AK20)</f>
        <v>8.0840336134453779</v>
      </c>
      <c r="R2">
        <f>ABS(Treated!AJ10-Control!AJ20)</f>
        <v>6.4369747899159648</v>
      </c>
      <c r="S2">
        <f>ABS(Treated!AY10-Control!AY20)</f>
        <v>1.9660670440146813E-2</v>
      </c>
      <c r="T2">
        <f>ABS(Treated!G10-Control!G20)</f>
        <v>3.6616789011549855E-2</v>
      </c>
      <c r="U2">
        <f>ABS(Treated!AF10-Control!AF20)</f>
        <v>1.8232873033135464</v>
      </c>
      <c r="V2">
        <f>ABS(Treated!AG10-Control!AG20)</f>
        <v>3.4962683542429041E-2</v>
      </c>
      <c r="W2">
        <f>ABS(Treated!B10-Control!B20)</f>
        <v>0.7432423378288644</v>
      </c>
      <c r="X2">
        <f>ABS(Treated!AM10-Control!AM20)</f>
        <v>2.4225291887439049E-2</v>
      </c>
      <c r="Y2">
        <f>ABS(Treated!D10-Control!D20)</f>
        <v>1.7000371199700277</v>
      </c>
      <c r="Z2">
        <f>ABS(Treated!Y10-Control!Y20)</f>
        <v>2.2274590308579881E-2</v>
      </c>
      <c r="AA2">
        <f>ABS(Treated!AE10-Control!AE20)</f>
        <v>3.9746909088623272E-2</v>
      </c>
      <c r="AB2">
        <f>ABS(Treated!Q10-Control!Q20)</f>
        <v>4.2309739445219319E-2</v>
      </c>
      <c r="AC2">
        <f>ABS(Treated!AB10-Control!AB20)</f>
        <v>4.2494878631530786E-2</v>
      </c>
      <c r="AD2">
        <f>ABS(Treated!AP10-Control!AP20)</f>
        <v>1.9350449609501885E-2</v>
      </c>
      <c r="AE2">
        <f>ABS(Treated!AC10-Control!AC20)</f>
        <v>0.10904294385901409</v>
      </c>
      <c r="AF2">
        <f>ABS(Treated!AU10-Control!AU20)</f>
        <v>3.8663842488037115E-2</v>
      </c>
      <c r="AG2">
        <f>ABS(Treated!K10-Control!K20)</f>
        <v>2.2084803678652065E-2</v>
      </c>
      <c r="AH2">
        <f>ABS(Treated!W10-Control!W20)</f>
        <v>4.9066758571535418E-2</v>
      </c>
      <c r="AI2">
        <f>ABS(Treated!AX10-Control!AX20)</f>
        <v>1.2394590517048956E-2</v>
      </c>
      <c r="AJ2">
        <f>ABS(Treated!S10-Control!S20)</f>
        <v>2.7855525796092628E-2</v>
      </c>
      <c r="AK2">
        <f>ABS(Treated!U10-Control!U20)</f>
        <v>2.7855525796092628E-2</v>
      </c>
      <c r="AL2">
        <f>ABS(Treated!AT10-Control!AT20)</f>
        <v>1.7979118891772783E-2</v>
      </c>
      <c r="AM2">
        <f>ABS(Treated!R10-Control!R20)</f>
        <v>2.6734455215119163E-2</v>
      </c>
      <c r="AN2">
        <f>ABS(Treated!L10-Control!L20)</f>
        <v>1.4345987261519366E-2</v>
      </c>
      <c r="AO2">
        <f>ABS(Treated!AS10-Control!AS20)</f>
        <v>1.2081814190724016E-2</v>
      </c>
      <c r="AP2">
        <f>ABS(Treated!F10-Control!F20)</f>
        <v>1.1105622045335588</v>
      </c>
      <c r="AQ2">
        <f>ABS(Treated!Z10-Control!Z20)</f>
        <v>7.3421603399250079E-2</v>
      </c>
      <c r="AR2">
        <f>ABS(Treated!O10-Control!O20)</f>
        <v>2.4504570685192878E-2</v>
      </c>
      <c r="AS2">
        <f>ABS(Treated!AD10-Control!AD20)</f>
        <v>4.8168757521663136E-3</v>
      </c>
      <c r="AT2">
        <f>ABS(Treated!AR10-Control!AR20)</f>
        <v>7.1067723017524953E-3</v>
      </c>
      <c r="AU2">
        <f>ABS(Treated!AO10-Control!AO20)</f>
        <v>4.2986562162528053E-3</v>
      </c>
      <c r="AV2">
        <f>ABS(Treated!X10-Control!X20)</f>
        <v>7.7453665755479462E-4</v>
      </c>
      <c r="AW2">
        <f>ABS(Treated!AW10-Control!AW20)</f>
        <v>1.7928779769826181E-3</v>
      </c>
      <c r="AX2">
        <f>ABS(Treated!N10-Control!N20)</f>
        <v>2.8592447282779765E-3</v>
      </c>
      <c r="AY2">
        <f>ABS(Treated!AA10-Control!AA20)</f>
        <v>5.9559214793432347E-4</v>
      </c>
    </row>
    <row r="3" spans="1:51" x14ac:dyDescent="0.25">
      <c r="A3" s="2" t="s">
        <v>68</v>
      </c>
      <c r="B3">
        <f>Treated!T11^2</f>
        <v>3.8540029782821211E-4</v>
      </c>
      <c r="C3">
        <f>Treated!AI11^2</f>
        <v>56.238095238095255</v>
      </c>
      <c r="D3">
        <f>Treated!AL11^2</f>
        <v>9.0771462976875581E-3</v>
      </c>
      <c r="E3">
        <f>Treated!AN11^2</f>
        <v>2.2666043440803101E-4</v>
      </c>
      <c r="F3">
        <f>Treated!AQ11^2</f>
        <v>4.6676885745043108E-4</v>
      </c>
      <c r="G3">
        <f>Treated!V11^2</f>
        <v>1.1063666415328367E-3</v>
      </c>
      <c r="H3">
        <f>Treated!C11^2</f>
        <v>4.1644792271121794E-4</v>
      </c>
      <c r="I3">
        <f>Treated!M11^2</f>
        <v>1.6021478635305413E-3</v>
      </c>
      <c r="J3">
        <f>Treated!E11^2</f>
        <v>3.6053122626158167</v>
      </c>
      <c r="K3">
        <f>Treated!I11^2</f>
        <v>7.7729548772842327E-5</v>
      </c>
      <c r="L3">
        <f>Treated!H11^2</f>
        <v>2.0989554940528706E-4</v>
      </c>
      <c r="M3">
        <f>Treated!AH11^2</f>
        <v>6.7724683092559477E-5</v>
      </c>
      <c r="N3">
        <f>Treated!AV11^2</f>
        <v>6.6653868040712544E-4</v>
      </c>
      <c r="O3">
        <f>Treated!J11^2</f>
        <v>3.4450210329182535E-4</v>
      </c>
      <c r="P3">
        <f>Treated!P11^2</f>
        <v>1.1782823948493458E-3</v>
      </c>
      <c r="Q3">
        <f>Treated!AK11^2</f>
        <v>45.142857142856883</v>
      </c>
      <c r="R3">
        <f>Treated!AJ11^2</f>
        <v>27.14285714285711</v>
      </c>
      <c r="S3">
        <f>Treated!AY11^2</f>
        <v>3.7001433087435059E-4</v>
      </c>
      <c r="T3">
        <f>Treated!G11^2</f>
        <v>4.7028784530261372E-4</v>
      </c>
      <c r="U3">
        <f>Treated!AF11^2</f>
        <v>2.769412708255989</v>
      </c>
      <c r="V3">
        <f>Treated!AG11^2</f>
        <v>4.9027156376710063E-4</v>
      </c>
      <c r="W3">
        <f>Treated!B11^2</f>
        <v>0.45006873559505323</v>
      </c>
      <c r="X3">
        <f>Treated!AM11^2</f>
        <v>1.3521904172664317E-4</v>
      </c>
      <c r="Y3">
        <f>Treated!D11^2</f>
        <v>4.2109769737120653</v>
      </c>
      <c r="Z3">
        <f>Treated!Y11^2</f>
        <v>3.4593434836391324E-4</v>
      </c>
      <c r="AA3">
        <f>Treated!AE11^2</f>
        <v>1.1305173616700667E-3</v>
      </c>
      <c r="AB3">
        <f>Treated!Q11^2</f>
        <v>1.390818555808415E-3</v>
      </c>
      <c r="AC3">
        <f>Treated!AB11^2</f>
        <v>1.5733184595004E-3</v>
      </c>
      <c r="AD3">
        <f>Treated!AP11^2</f>
        <v>9.6177022933065749E-5</v>
      </c>
      <c r="AE3">
        <f>Treated!AC11^2</f>
        <v>9.788959909057612E-3</v>
      </c>
      <c r="AF3">
        <f>Treated!AU11^2</f>
        <v>2.5861047802856608E-3</v>
      </c>
      <c r="AG3">
        <f>Treated!K11^2</f>
        <v>4.1822877090402549E-4</v>
      </c>
      <c r="AH3">
        <f>Treated!W11^2</f>
        <v>3.5304017781628834E-3</v>
      </c>
      <c r="AI3">
        <f>Treated!AX11^2</f>
        <v>3.4244946311194163E-4</v>
      </c>
      <c r="AJ3">
        <f>Treated!S11^2</f>
        <v>1.5413119174639855E-3</v>
      </c>
      <c r="AK3">
        <f>Treated!U11^2</f>
        <v>1.5413119174639855E-3</v>
      </c>
      <c r="AL3">
        <f>Treated!AT11^2</f>
        <v>1.2012727253430706E-4</v>
      </c>
      <c r="AM3">
        <f>Treated!R11^2</f>
        <v>1.1703803530553106E-3</v>
      </c>
      <c r="AN3">
        <f>Treated!L11^2</f>
        <v>3.4759250131515684E-4</v>
      </c>
      <c r="AO3">
        <f>Treated!AS11^2</f>
        <v>4.8634354499135723E-5</v>
      </c>
      <c r="AP3">
        <f>Treated!F11^2</f>
        <v>4.2328463588763059</v>
      </c>
      <c r="AQ3">
        <f>Treated!Z11^2</f>
        <v>2.306090550458384E-2</v>
      </c>
      <c r="AR3">
        <f>Treated!O11^2</f>
        <v>1.6910290977350066E-3</v>
      </c>
      <c r="AS3">
        <f>Treated!AD11^2</f>
        <v>1.13698293096214E-4</v>
      </c>
      <c r="AT3">
        <f>Treated!AR11^2</f>
        <v>1.1331808826962591E-3</v>
      </c>
      <c r="AU3">
        <f>Treated!AO11^2</f>
        <v>1.6777975133424492E-3</v>
      </c>
      <c r="AV3">
        <f>Treated!X11^2</f>
        <v>3.6887477609701355E-5</v>
      </c>
      <c r="AW3">
        <f>Treated!AW11^2</f>
        <v>7.5101358428214299E-4</v>
      </c>
      <c r="AX3">
        <f>Treated!N11^2</f>
        <v>1.0617753197864066E-3</v>
      </c>
      <c r="AY3">
        <f>Treated!AA11^2</f>
        <v>2.9517536072248363E-4</v>
      </c>
    </row>
    <row r="4" spans="1:51" x14ac:dyDescent="0.25">
      <c r="A4" s="2" t="s">
        <v>69</v>
      </c>
      <c r="B4">
        <f>Control!T21^2</f>
        <v>3.3860406654577589E-4</v>
      </c>
      <c r="C4">
        <f>Control!AI21^2</f>
        <v>102.81617647058827</v>
      </c>
      <c r="D4">
        <f>Control!AL21^2</f>
        <v>1.2809938472885155E-2</v>
      </c>
      <c r="E4">
        <f>Control!AN21^2</f>
        <v>8.7423740300600979E-4</v>
      </c>
      <c r="F4">
        <f>Control!AQ21^2</f>
        <v>7.3948981347790566E-4</v>
      </c>
      <c r="G4">
        <f>Control!V21^2</f>
        <v>1.4164233052276101E-3</v>
      </c>
      <c r="H4">
        <f>Control!C21^2</f>
        <v>4.218164765077935E-4</v>
      </c>
      <c r="I4">
        <f>Control!M21^2</f>
        <v>2.2779943373440544E-3</v>
      </c>
      <c r="J4">
        <f>Control!E21^2</f>
        <v>3.3238942965034668</v>
      </c>
      <c r="K4">
        <f>Control!I21^2</f>
        <v>1.2128652836779704E-4</v>
      </c>
      <c r="L4">
        <f>Control!H21^2</f>
        <v>5.6238964895037721E-4</v>
      </c>
      <c r="M4">
        <f>Control!AH21^2</f>
        <v>1.1777558609727761E-4</v>
      </c>
      <c r="N4">
        <f>Control!AV21^2</f>
        <v>2.2046752847248429E-4</v>
      </c>
      <c r="O4">
        <f>Control!J21^2</f>
        <v>5.1894199689663835E-4</v>
      </c>
      <c r="P4">
        <f>Control!P21^2</f>
        <v>1.622666130060107E-3</v>
      </c>
      <c r="Q4">
        <f>Control!AK21^2</f>
        <v>46.308823529411718</v>
      </c>
      <c r="R4">
        <f>Control!AJ21^2</f>
        <v>33.970588235294152</v>
      </c>
      <c r="S4">
        <f>Control!AY21^2</f>
        <v>2.0363886359446579E-4</v>
      </c>
      <c r="T4">
        <f>Control!G21^2</f>
        <v>1.6402726274849968E-3</v>
      </c>
      <c r="U4">
        <f>Control!AF21^2</f>
        <v>2.5879722803476932</v>
      </c>
      <c r="V4">
        <f>Control!AG21^2</f>
        <v>1.64411195409388E-3</v>
      </c>
      <c r="W4">
        <f>Control!B21^2</f>
        <v>0.54802869960424883</v>
      </c>
      <c r="X4">
        <f>Control!AM21^2</f>
        <v>9.9356633271147554E-4</v>
      </c>
      <c r="Y4">
        <f>Control!D21^2</f>
        <v>1.6653561607804874</v>
      </c>
      <c r="Z4">
        <f>Control!Y21^2</f>
        <v>6.6805922186473007E-4</v>
      </c>
      <c r="AA4">
        <f>Control!AE21^2</f>
        <v>2.1194949618472368E-3</v>
      </c>
      <c r="AB4">
        <f>Control!Q21^2</f>
        <v>2.8178896570761306E-3</v>
      </c>
      <c r="AC4">
        <f>Control!AB21^2</f>
        <v>2.8656275142574864E-3</v>
      </c>
      <c r="AD4">
        <f>Control!AP21^2</f>
        <v>8.5939716225970862E-4</v>
      </c>
      <c r="AE4">
        <f>Control!AC21^2</f>
        <v>2.0719163453615175E-2</v>
      </c>
      <c r="AF4">
        <f>Control!AU21^2</f>
        <v>1.4154332825604984E-3</v>
      </c>
      <c r="AG4">
        <f>Control!K21^2</f>
        <v>9.2659056317537236E-4</v>
      </c>
      <c r="AH4">
        <f>Control!W21^2</f>
        <v>6.5050940177488513E-3</v>
      </c>
      <c r="AI4">
        <f>Control!AX21^2</f>
        <v>3.8645205630887235E-4</v>
      </c>
      <c r="AJ4">
        <f>Control!S21^2</f>
        <v>2.3853999412318887E-3</v>
      </c>
      <c r="AK4">
        <f>Control!U21^2</f>
        <v>2.3853999412318887E-3</v>
      </c>
      <c r="AL4">
        <f>Control!AT21^2</f>
        <v>1.5288010864213661E-3</v>
      </c>
      <c r="AM4">
        <f>Control!R21^2</f>
        <v>3.076134551508018E-3</v>
      </c>
      <c r="AN4">
        <f>Control!L21^2</f>
        <v>9.8055653828708097E-4</v>
      </c>
      <c r="AO4">
        <f>Control!AS21^2</f>
        <v>1.0340980883152312E-3</v>
      </c>
      <c r="AP4">
        <f>Control!F21^2</f>
        <v>7.1119252931761192</v>
      </c>
      <c r="AQ4">
        <f>Control!Z21^2</f>
        <v>2.7029612018913188E-2</v>
      </c>
      <c r="AR4">
        <f>Control!O21^2</f>
        <v>4.3690171675926856E-3</v>
      </c>
      <c r="AS4">
        <f>Control!AD21^2</f>
        <v>4.1875430372665957E-4</v>
      </c>
      <c r="AT4">
        <f>Control!AR21^2</f>
        <v>1.1775272609290202E-3</v>
      </c>
      <c r="AU4">
        <f>Control!AO21^2</f>
        <v>1.7007698866372651E-3</v>
      </c>
      <c r="AV4">
        <f>Control!X21^2</f>
        <v>1.1315283711205855E-4</v>
      </c>
      <c r="AW4">
        <f>Control!AW21^2</f>
        <v>1.1879815528898253E-3</v>
      </c>
      <c r="AX4">
        <f>Control!N21^2</f>
        <v>8.961716688451039E-3</v>
      </c>
      <c r="AY4">
        <f>Control!AA21^2</f>
        <v>6.7223068668301189E-4</v>
      </c>
    </row>
    <row r="5" spans="1:51" x14ac:dyDescent="0.25">
      <c r="A5" s="2" t="s">
        <v>70</v>
      </c>
      <c r="B5" s="2">
        <f>B2/SQRT(B3+B4)</f>
        <v>1.3448273542873104</v>
      </c>
      <c r="C5" s="2">
        <f>C2/SQRT(C3+C4)</f>
        <v>1.1513943872292689</v>
      </c>
      <c r="D5" s="2">
        <f>D2/SQRT(D3+D4)</f>
        <v>1.1014744420102855</v>
      </c>
      <c r="E5" s="2">
        <f>E2/SQRT(E3+E4)</f>
        <v>1.0897277251590336</v>
      </c>
      <c r="F5" s="2">
        <f>F2/SQRT(F3+F4)</f>
        <v>1.0599294937600452</v>
      </c>
      <c r="G5" s="2">
        <f>G2/SQRT(G3+G4)</f>
        <v>1.0519275274455135</v>
      </c>
      <c r="H5" s="2">
        <f>H2/SQRT(H3+H4)</f>
        <v>1.0286605311760078</v>
      </c>
      <c r="I5" s="3">
        <f>I2/SQRT(I3+I4)</f>
        <v>1.0036805054680351</v>
      </c>
      <c r="J5" s="2">
        <f>J2/SQRT(J3+J4)</f>
        <v>0.98931368033084377</v>
      </c>
      <c r="K5" s="2">
        <f>K2/SQRT(K3+K4)</f>
        <v>0.96249811820321685</v>
      </c>
      <c r="L5" s="3">
        <f>L2/SQRT(L3+L4)</f>
        <v>0.9294060720011682</v>
      </c>
      <c r="M5" s="2">
        <f>M2/SQRT(M3+M4)</f>
        <v>0.92112884927361294</v>
      </c>
      <c r="N5" s="2">
        <f>N2/SQRT(N3+N4)</f>
        <v>0.90096248733168716</v>
      </c>
      <c r="O5" s="2">
        <f>O2/SQRT(O3+O4)</f>
        <v>0.85845078782617557</v>
      </c>
      <c r="P5" s="2">
        <f>P2/SQRT(P3+P4)</f>
        <v>0.85145516225305162</v>
      </c>
      <c r="Q5" s="2">
        <f>Q2/SQRT(Q3+Q4)</f>
        <v>0.84534164578245152</v>
      </c>
      <c r="R5" s="2">
        <f>R2/SQRT(R3+R4)</f>
        <v>0.82340485613643211</v>
      </c>
      <c r="S5" s="2">
        <f>S2/SQRT(S3+S4)</f>
        <v>0.82086854704039136</v>
      </c>
      <c r="T5" s="2">
        <f>T2/SQRT(T3+T4)</f>
        <v>0.79704227601615252</v>
      </c>
      <c r="U5" s="2">
        <f>U2/SQRT(U3+U4)</f>
        <v>0.78773234705294193</v>
      </c>
      <c r="V5" s="2">
        <f>V2/SQRT(V3+V4)</f>
        <v>0.75677805514480223</v>
      </c>
      <c r="W5" s="2">
        <f>W2/SQRT(W3+W4)</f>
        <v>0.7439503816688372</v>
      </c>
      <c r="X5" s="2">
        <f>X2/SQRT(X3+X4)</f>
        <v>0.72104659725432085</v>
      </c>
      <c r="Y5" s="2">
        <f>Y2/SQRT(Y3+Y4)</f>
        <v>0.70130219797622984</v>
      </c>
      <c r="Z5" s="2">
        <f>Z2/SQRT(Z3+Z4)</f>
        <v>0.69950709580990267</v>
      </c>
      <c r="AA5" s="2">
        <f>AA2/SQRT(AA3+AA4)</f>
        <v>0.69720558532812815</v>
      </c>
      <c r="AB5" s="2">
        <f>AB2/SQRT(AB3+AB4)</f>
        <v>0.65217769593027342</v>
      </c>
      <c r="AC5" s="2">
        <f>AC2/SQRT(AC3+AC4)</f>
        <v>0.63781784162976884</v>
      </c>
      <c r="AD5" s="2">
        <f>AD2/SQRT(AD3+AD4)</f>
        <v>0.62597769119569557</v>
      </c>
      <c r="AE5" s="2">
        <f>AE2/SQRT(AE3+AE4)</f>
        <v>0.62429494847517586</v>
      </c>
      <c r="AF5" s="2">
        <f>AF2/SQRT(AF3+AF4)</f>
        <v>0.61121152785713617</v>
      </c>
      <c r="AG5" s="2">
        <f>AG2/SQRT(AG3+AG4)</f>
        <v>0.60222886963999878</v>
      </c>
      <c r="AH5" s="2">
        <f>AH2/SQRT(AH3+AH4)</f>
        <v>0.48979906537004825</v>
      </c>
      <c r="AI5" s="2">
        <f>AI2/SQRT(AI3+AI4)</f>
        <v>0.45908991830500878</v>
      </c>
      <c r="AJ5" s="2">
        <f>AJ2/SQRT(AJ3+AJ4)</f>
        <v>0.4445256682904104</v>
      </c>
      <c r="AK5" s="2">
        <f>AK2/SQRT(AK3+AK4)</f>
        <v>0.4445256682904104</v>
      </c>
      <c r="AL5" s="2">
        <f>AL2/SQRT(AL3+AL4)</f>
        <v>0.44275911499674231</v>
      </c>
      <c r="AM5" s="2">
        <f>AM2/SQRT(AM3+AM4)</f>
        <v>0.41025606700991002</v>
      </c>
      <c r="AN5" s="2">
        <f>AN2/SQRT(AN3+AN4)</f>
        <v>0.39364708028174134</v>
      </c>
      <c r="AO5" s="2">
        <f>AO2/SQRT(AO3+AO4)</f>
        <v>0.36717370961148132</v>
      </c>
      <c r="AP5" s="2">
        <f>AP2/SQRT(AP3+AP4)</f>
        <v>0.32971978634441063</v>
      </c>
      <c r="AQ5" s="2">
        <f>AQ2/SQRT(AQ3+AQ4)</f>
        <v>0.32805457982709607</v>
      </c>
      <c r="AR5" s="2">
        <f>AR2/SQRT(AR3+AR4)</f>
        <v>0.31478144761372062</v>
      </c>
      <c r="AS5" s="2">
        <f>AS2/SQRT(AS3+AS4)</f>
        <v>0.20874927191645737</v>
      </c>
      <c r="AT5" s="2">
        <f>AT2/SQRT(AT3+AT4)</f>
        <v>0.14784268919300517</v>
      </c>
      <c r="AU5" s="2">
        <f>AU2/SQRT(AU3+AU4)</f>
        <v>7.3954809095387486E-2</v>
      </c>
      <c r="AV5" s="2">
        <f>AV2/SQRT(AV3+AV4)</f>
        <v>6.3232156551208785E-2</v>
      </c>
      <c r="AW5" s="2">
        <f>AW2/SQRT(AW3+AW4)</f>
        <v>4.0715743767183156E-2</v>
      </c>
      <c r="AX5" s="2">
        <f>AX2/SQRT(AX3+AX4)</f>
        <v>2.855892163972603E-2</v>
      </c>
      <c r="AY5" s="2">
        <f>AY2/SQRT(AY3+AY4)</f>
        <v>1.9148932337975121E-2</v>
      </c>
    </row>
    <row r="20" spans="43:51" x14ac:dyDescent="0.25">
      <c r="AQ20" t="s">
        <v>74</v>
      </c>
      <c r="AR20" t="s">
        <v>71</v>
      </c>
      <c r="AS20" t="s">
        <v>72</v>
      </c>
      <c r="AT20" t="s">
        <v>73</v>
      </c>
      <c r="AW20" t="s">
        <v>75</v>
      </c>
      <c r="AX20" t="s">
        <v>71</v>
      </c>
      <c r="AY20" t="s">
        <v>72</v>
      </c>
    </row>
    <row r="21" spans="43:51" x14ac:dyDescent="0.25">
      <c r="AR21">
        <f>ABS(0.0563-0.079)</f>
        <v>2.2699999999999998E-2</v>
      </c>
      <c r="AS21">
        <f>0.222-0.148</f>
        <v>7.400000000000001E-2</v>
      </c>
      <c r="AT21">
        <f>0.1388-0.0957</f>
        <v>4.3100000000000013E-2</v>
      </c>
      <c r="AX21">
        <f>0.1047-0.084</f>
        <v>2.0699999999999996E-2</v>
      </c>
      <c r="AY21">
        <f>0.4791-0.3569</f>
        <v>0.12220000000000003</v>
      </c>
    </row>
    <row r="22" spans="43:51" x14ac:dyDescent="0.25">
      <c r="AR22">
        <f>0.0205^2</f>
        <v>4.2025000000000005E-4</v>
      </c>
      <c r="AS22">
        <f>0.0447^2</f>
        <v>1.9980899999999997E-3</v>
      </c>
      <c r="AT22">
        <f>0.0368^2</f>
        <v>1.35424E-3</v>
      </c>
      <c r="AX22">
        <f>0.023^2</f>
        <v>5.2899999999999996E-4</v>
      </c>
      <c r="AY22">
        <f>0.1408^2</f>
        <v>1.9824640000000001E-2</v>
      </c>
    </row>
    <row r="23" spans="43:51" x14ac:dyDescent="0.25">
      <c r="AR23">
        <f>0.0181^2</f>
        <v>3.2761000000000004E-4</v>
      </c>
      <c r="AS23">
        <f>0.0426^2</f>
        <v>1.8147599999999999E-3</v>
      </c>
      <c r="AT23">
        <f>0.036^2</f>
        <v>1.2959999999999998E-3</v>
      </c>
      <c r="AX23">
        <f>0.028^2</f>
        <v>7.8400000000000008E-4</v>
      </c>
      <c r="AY23">
        <f>0.0708^2</f>
        <v>5.0126400000000005E-3</v>
      </c>
    </row>
    <row r="24" spans="43:51" x14ac:dyDescent="0.25">
      <c r="AR24" s="2">
        <f t="shared" ref="AR24" si="0">AR21/SQRT(AR22+AR23)</f>
        <v>0.83007188554346534</v>
      </c>
      <c r="AS24" s="2">
        <f t="shared" ref="AS24" si="1">AS21/SQRT(AS22+AS23)</f>
        <v>1.1984139607618314</v>
      </c>
      <c r="AT24" s="2">
        <f t="shared" ref="AT24" si="2">AT21/SQRT(AT22+AT23)</f>
        <v>0.8372105027913006</v>
      </c>
      <c r="AX24" s="2">
        <f t="shared" ref="AX24" si="3">AX21/SQRT(AX22+AX23)</f>
        <v>0.57126548102401231</v>
      </c>
      <c r="AY24" s="2">
        <f t="shared" ref="AY24" si="4">AY21/SQRT(AY22+AY23)</f>
        <v>0.77538820304519518</v>
      </c>
    </row>
  </sheetData>
  <sortState xmlns:xlrd2="http://schemas.microsoft.com/office/spreadsheetml/2017/richdata2" columnSort="1" ref="A1:AY5">
    <sortCondition descending="1" ref="A5:AY5"/>
  </sortState>
  <conditionalFormatting sqref="AR24:AT24 B5:AY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4:AY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2542-45D6-4739-A4C4-6837FF751250}">
  <dimension ref="D4:BA21"/>
  <sheetViews>
    <sheetView tabSelected="1" workbookViewId="0">
      <selection activeCell="I11" sqref="I11"/>
    </sheetView>
  </sheetViews>
  <sheetFormatPr defaultRowHeight="15" x14ac:dyDescent="0.25"/>
  <cols>
    <col min="5" max="5" width="20.42578125" bestFit="1" customWidth="1"/>
    <col min="7" max="7" width="20.42578125" bestFit="1" customWidth="1"/>
  </cols>
  <sheetData>
    <row r="4" spans="5:8" x14ac:dyDescent="0.25">
      <c r="E4" s="3">
        <v>1.0897277251590336</v>
      </c>
      <c r="F4" s="2">
        <v>2</v>
      </c>
      <c r="G4" s="2"/>
      <c r="H4" s="2"/>
    </row>
    <row r="10" spans="5:8" x14ac:dyDescent="0.25">
      <c r="E10" s="2">
        <v>1</v>
      </c>
    </row>
    <row r="20" spans="4:53" x14ac:dyDescent="0.25">
      <c r="G20" t="s">
        <v>89</v>
      </c>
    </row>
    <row r="21" spans="4:53" x14ac:dyDescent="0.25">
      <c r="D21" s="2">
        <v>1.3448273542873104</v>
      </c>
      <c r="E21" s="2">
        <v>1.1513943872292689</v>
      </c>
      <c r="F21" s="2">
        <v>1.1014744420102855</v>
      </c>
      <c r="G21" s="2">
        <v>1.0897277251590336</v>
      </c>
      <c r="H21" s="2">
        <v>1.0599294937600452</v>
      </c>
      <c r="I21" s="2">
        <v>1.0519275274455135</v>
      </c>
      <c r="J21" s="2">
        <v>1.0286605311760078</v>
      </c>
      <c r="K21" s="3">
        <v>1.0036805054680351</v>
      </c>
      <c r="L21" s="2">
        <v>0.98931368033084377</v>
      </c>
      <c r="M21" s="2">
        <v>0.96249811820321685</v>
      </c>
      <c r="N21" s="3">
        <v>0.9294060720011682</v>
      </c>
      <c r="O21" s="2">
        <v>0.92112884927361294</v>
      </c>
      <c r="P21" s="2">
        <v>0.90096248733168716</v>
      </c>
      <c r="Q21" s="2">
        <v>0.85845078782617557</v>
      </c>
      <c r="R21" s="2">
        <v>0.85145516225305162</v>
      </c>
      <c r="S21" s="2">
        <v>0.84534164578245152</v>
      </c>
      <c r="T21" s="2">
        <v>0.82340485613643211</v>
      </c>
      <c r="U21" s="2">
        <v>0.82086854704039136</v>
      </c>
      <c r="V21" s="2">
        <v>0.79704227601615252</v>
      </c>
      <c r="W21" s="2">
        <v>0.78773234705294193</v>
      </c>
      <c r="X21" s="2">
        <v>0.75677805514480223</v>
      </c>
      <c r="Y21" s="2">
        <v>0.7439503816688372</v>
      </c>
      <c r="Z21" s="2">
        <v>0.72104659725432085</v>
      </c>
      <c r="AA21" s="2">
        <v>0.70130219797622984</v>
      </c>
      <c r="AB21" s="2">
        <v>0.69950709580990267</v>
      </c>
      <c r="AC21" s="2">
        <v>0.69720558532812815</v>
      </c>
      <c r="AD21" s="2">
        <v>0.65217769593027342</v>
      </c>
      <c r="AE21" s="2">
        <v>0.63781784162976884</v>
      </c>
      <c r="AF21" s="2">
        <v>0.62597769119569557</v>
      </c>
      <c r="AG21" s="2">
        <v>0.62429494847517586</v>
      </c>
      <c r="AH21" s="2">
        <v>0.61121152785713617</v>
      </c>
      <c r="AI21" s="2">
        <v>0.60222886963999878</v>
      </c>
      <c r="AJ21" s="2">
        <v>0.48979906537004825</v>
      </c>
      <c r="AK21" s="2">
        <v>0.45908991830500878</v>
      </c>
      <c r="AL21" s="2">
        <v>0.4445256682904104</v>
      </c>
      <c r="AM21" s="2">
        <v>0.4445256682904104</v>
      </c>
      <c r="AN21" s="2">
        <v>0.44275911499674231</v>
      </c>
      <c r="AO21" s="2">
        <v>0.41025606700991002</v>
      </c>
      <c r="AP21" s="2">
        <v>0.39364708028174134</v>
      </c>
      <c r="AQ21" s="2">
        <v>0.36717370961148132</v>
      </c>
      <c r="AR21" s="2">
        <v>0.32971978634441063</v>
      </c>
      <c r="AS21" s="2">
        <v>0.32805457982709607</v>
      </c>
      <c r="AT21" s="2">
        <v>0.31478144761372062</v>
      </c>
      <c r="AU21" s="2">
        <v>0.20874927191645737</v>
      </c>
      <c r="AV21" s="2">
        <v>0.14784268919300517</v>
      </c>
      <c r="AW21" s="2">
        <v>7.3954809095387486E-2</v>
      </c>
      <c r="AX21" s="2">
        <v>6.3232156551208785E-2</v>
      </c>
      <c r="AY21" s="2">
        <v>4.0715743767183156E-2</v>
      </c>
      <c r="AZ21" s="2">
        <v>2.855892163972603E-2</v>
      </c>
      <c r="BA21" s="2">
        <v>1.9148932337975121E-2</v>
      </c>
    </row>
  </sheetData>
  <conditionalFormatting sqref="F4:H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BA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Treated</vt:lpstr>
      <vt:lpstr>Feature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Klugman</cp:lastModifiedBy>
  <dcterms:created xsi:type="dcterms:W3CDTF">2026-05-05T06:36:00Z</dcterms:created>
  <dcterms:modified xsi:type="dcterms:W3CDTF">2026-05-07T04:21:29Z</dcterms:modified>
</cp:coreProperties>
</file>